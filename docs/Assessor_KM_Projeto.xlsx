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ão" sheetId="1" state="visible" r:id="rId3"/>
    <sheet name="Escopo" sheetId="2" state="visible" r:id="rId4"/>
    <sheet name="Módulos" sheetId="3" state="visible" r:id="rId5"/>
    <sheet name="Funções" sheetId="4" state="visible" r:id="rId6"/>
    <sheet name="Ligações" sheetId="5" state="visible" r:id="rId7"/>
    <sheet name="Fases" sheetId="6" state="visible" r:id="rId8"/>
    <sheet name="Tarefas" sheetId="7" state="visible" r:id="rId9"/>
    <sheet name="Necessidades" sheetId="8" state="visible" r:id="rId10"/>
    <sheet name="Custos" sheetId="9" state="visible" r:id="rId11"/>
    <sheet name="Cronograma" sheetId="10" state="visible" r:id="rId12"/>
    <sheet name="Riscos" sheetId="11" state="visible" r:id="rId13"/>
    <sheet name="Decisões" sheetId="12" state="visible" r:id="rId14"/>
  </sheets>
  <definedNames>
    <definedName function="false" hidden="true" localSheetId="3" name="_xlnm._FilterDatabase" vbProcedure="false">Funções!$A$4:$F$39</definedName>
    <definedName function="false" hidden="true" localSheetId="6" name="_xlnm._FilterDatabase" vbProcedure="false">Tarefas!$A$3:$F$34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<sst xmlns="http://schemas.openxmlformats.org/spreadsheetml/2006/main" count="775" uniqueCount="453">
  <si>
    <t xml:space="preserve">Assessor KM — Plano do projeto</t>
  </si>
  <si>
    <t xml:space="preserve">Data: 10/10/2026 · Responsável: Kauê München</t>
  </si>
  <si>
    <t xml:space="preserve">Produto</t>
  </si>
  <si>
    <t xml:space="preserve">Assessor de gestão por IA em mensageria (Telegram no piloto, WhatsApp na v2) para donos de pequenas e médias empresas, vendido como extensão da mentoria KM e da comunidade Masi.</t>
  </si>
  <si>
    <t xml:space="preserve">Para quem</t>
  </si>
  <si>
    <t xml:space="preserve">Empresário que gere equipe (5–100 pessoas), vive no WhatsApp, não usa ferramenta de gestão e perde rotina, prazo e cobrança de equipe.</t>
  </si>
  <si>
    <t xml:space="preserve">Tese a validar</t>
  </si>
  <si>
    <t xml:space="preserve">10 empresários pagam R$ 97/mês por um assessor que mantém a rotina de gestão deles funcionando pelo WhatsApp.</t>
  </si>
  <si>
    <t xml:space="preserve">Por que não competir de frente</t>
  </si>
  <si>
    <t xml:space="preserve">Meu Assessor: 250 mil usuários, R$ 29,90/mês, embaixadores famosos. Ganhar no nicho custa só produto + distribuição que Kauê já tem.</t>
  </si>
  <si>
    <t xml:space="preserve">Regra de produto</t>
  </si>
  <si>
    <t xml:space="preserve">Toda ação com efeito externo volta para o dono confirmar. Toda ação registrada gera recibo na conversa.</t>
  </si>
  <si>
    <t xml:space="preserve">Fora do escopo</t>
  </si>
  <si>
    <t xml:space="preserve">Gastos pessoais, cartão da família, pesquisa de preço (isso é o Meu Assessor).</t>
  </si>
  <si>
    <t xml:space="preserve">Decisão de canal (11/10)</t>
  </si>
  <si>
    <t xml:space="preserve">Fases 0 e 1 no Telegram (piloto, gratuito, reaproveita bot atual). Orquestrador com adaptador de canal; Fase 2 migra para WhatsApp Cloud API. Cobrança da equipe pelo WhatsApp só após a migração. Se &gt;50% dos entrevistados recusarem Telegram, ir direto para Evolution API.</t>
  </si>
  <si>
    <t xml:space="preserve">Meu Assessor vs Assessor KM</t>
  </si>
  <si>
    <t xml:space="preserve">Meu Assessor</t>
  </si>
  <si>
    <t xml:space="preserve">Assessor KM</t>
  </si>
  <si>
    <t xml:space="preserve">Organiza a vida pessoal</t>
  </si>
  <si>
    <t xml:space="preserve">Organiza a gestão da empresa (metas, rotina, delegação, cobrança de equipe)</t>
  </si>
  <si>
    <t xml:space="preserve">Assessores genéricos</t>
  </si>
  <si>
    <t xml:space="preserve">Assessor treinado no método de gestão KM/Masi</t>
  </si>
  <si>
    <t xml:space="preserve">Cobra clientes</t>
  </si>
  <si>
    <t xml:space="preserve">Cobra a equipe por entregas e prazos</t>
  </si>
  <si>
    <t xml:space="preserve">Ata de reunião</t>
  </si>
  <si>
    <t xml:space="preserve">Ata + tarefas distribuídas + acompanhamento até fechar</t>
  </si>
  <si>
    <t xml:space="preserve">R$ 29,90/mês, aquisição paga</t>
  </si>
  <si>
    <t xml:space="preserve">R$ 97–197/mês, venda direta para quem já confia em Kauê</t>
  </si>
  <si>
    <t xml:space="preserve">Legenda: células amarelas são para você preencher/atualizar (status, datas, decisões).</t>
  </si>
  <si>
    <t xml:space="preserve">Abas: Escopo · Módulos · Funções · Ligações · Fases · Tarefas · Necessidades · Custos · Cronograma · Riscos · Decisões</t>
  </si>
  <si>
    <t xml:space="preserve">Escopo por versão</t>
  </si>
  <si>
    <t xml:space="preserve">Módulo</t>
  </si>
  <si>
    <t xml:space="preserve">O que faz</t>
  </si>
  <si>
    <t xml:space="preserve">Versão</t>
  </si>
  <si>
    <t xml:space="preserve">Rotina (resumo diário)</t>
  </si>
  <si>
    <t xml:space="preserve">Manda às 7h: compromissos, tarefas vencendo, cobranças pendentes da equipe</t>
  </si>
  <si>
    <t xml:space="preserve">MVP</t>
  </si>
  <si>
    <t xml:space="preserve">Agenda</t>
  </si>
  <si>
    <t xml:space="preserve">Agenda por áudio/texto no Google Agenda, lembrete antes, link do Meet</t>
  </si>
  <si>
    <t xml:space="preserve">Tarefas e delegação</t>
  </si>
  <si>
    <t xml:space="preserve">Cria tarefa, atribui a pessoa da equipe, avisa o dono quando fechar ou atrasar (cobrança direta ao colaborador pelo WhatsApp: v2)</t>
  </si>
  <si>
    <t xml:space="preserve">Recebe áudio/gravação, transcreve, gera ata com decisões e ações, cria as tarefas</t>
  </si>
  <si>
    <t xml:space="preserve">Metas semanais</t>
  </si>
  <si>
    <t xml:space="preserve">Dono define 3 metas; assessor cobra na sexta e consolida</t>
  </si>
  <si>
    <t xml:space="preserve">Painel web</t>
  </si>
  <si>
    <t xml:space="preserve">Tarefas, equipe, metas, histórico em tela grande</t>
  </si>
  <si>
    <t xml:space="preserve">v2</t>
  </si>
  <si>
    <t xml:space="preserve">Conta compartilhada</t>
  </si>
  <si>
    <t xml:space="preserve">Sócios e gestores no mesmo número, cada um com seu WhatsApp, permissões por papel</t>
  </si>
  <si>
    <t xml:space="preserve">Documentos</t>
  </si>
  <si>
    <t xml:space="preserve">Guarda arquivos por pasta, busca por descrição, avisa vencimento</t>
  </si>
  <si>
    <t xml:space="preserve">Cobrança de clientes</t>
  </si>
  <si>
    <t xml:space="preserve">Link de pagamento (Asaas), lembrete recorrente, aviso quando cair</t>
  </si>
  <si>
    <t xml:space="preserve">v3</t>
  </si>
  <si>
    <t xml:space="preserve">Financeiro</t>
  </si>
  <si>
    <t xml:space="preserve">Open Finance (Pluggy), gastos por categoria, fluxo de caixa</t>
  </si>
  <si>
    <t xml:space="preserve">Nota fiscal</t>
  </si>
  <si>
    <t xml:space="preserve">Emissão de NFS-e (Focus NFe)</t>
  </si>
  <si>
    <t xml:space="preserve">Integração AgilFac</t>
  </si>
  <si>
    <t xml:space="preserve">OPs do dia, produtividade da semana, alerta de atraso</t>
  </si>
  <si>
    <t xml:space="preserve">Assessores — módulos, chave liga/desliga e combinações</t>
  </si>
  <si>
    <t xml:space="preserve">Diretor é fixo. Mude SIM/NÃO na coluna 'Ligado' para simular a configuração; o painel abaixo e a aba Ligações recalculam.</t>
  </si>
  <si>
    <t xml:space="preserve">Nome</t>
  </si>
  <si>
    <t xml:space="preserve">Funções</t>
  </si>
  <si>
    <t xml:space="preserve">Fase</t>
  </si>
  <si>
    <t xml:space="preserve">Ligado</t>
  </si>
  <si>
    <t xml:space="preserve">Dados próprios</t>
  </si>
  <si>
    <t xml:space="preserve">Integrações</t>
  </si>
  <si>
    <t xml:space="preserve">Rotinas automáticas</t>
  </si>
  <si>
    <t xml:space="preserve">Diretor</t>
  </si>
  <si>
    <t xml:space="preserve">Central de gestão (sempre ativo)</t>
  </si>
  <si>
    <t xml:space="preserve">Atende a conversa, roteia, consolida, análise gerencial/consultiva, ideias e processos, governança, memória</t>
  </si>
  <si>
    <t xml:space="preserve">SIM</t>
  </si>
  <si>
    <t xml:space="preserve">Perfil, metas, ideias, log de decisões, config de módulos/usuários</t>
  </si>
  <si>
    <t xml:space="preserve">—</t>
  </si>
  <si>
    <t xml:space="preserve">7h resumo · 20h fechamento · sex 17h semana · dia 26 mês · alerta de anomalia</t>
  </si>
  <si>
    <t xml:space="preserve">Secretária</t>
  </si>
  <si>
    <t xml:space="preserve">Secretária executiva</t>
  </si>
  <si>
    <t xml:space="preserve">Agenda, reuniões/atas, lembretes, e-mail, mensagens, retornos, link de agendamento</t>
  </si>
  <si>
    <t xml:space="preserve">MVP (e-mail e link público v2)</t>
  </si>
  <si>
    <t xml:space="preserve">Compromissos, lembretes, atas, retornos, contatos, modelos</t>
  </si>
  <si>
    <t xml:space="preserve">Google Calendar, Meet, Gmail</t>
  </si>
  <si>
    <t xml:space="preserve">7h agenda · lembretes · 18h retornos · dom 19h semana</t>
  </si>
  <si>
    <t xml:space="preserve">Produção</t>
  </si>
  <si>
    <t xml:space="preserve">Gestor de produção — AgilFac</t>
  </si>
  <si>
    <t xml:space="preserve">Consulta e movimenta OPs, produtividade (mês 26–25, 528 min/dia, meta 60%), alertas, cobrança de equipe, fechamento dia 26</t>
  </si>
  <si>
    <t xml:space="preserve">v3 (v2 se nicho = confecção)</t>
  </si>
  <si>
    <t xml:space="preserve">NÃO</t>
  </si>
  <si>
    <t xml:space="preserve">Cache apenas; fonte = banco AgilFac por empresa</t>
  </si>
  <si>
    <t xml:space="preserve">API AgilFac (endpoints no Agil.v2, token por empresa)</t>
  </si>
  <si>
    <t xml:space="preserve">7h OPs e atrasos · 12h/17h lançamentos · sex produtividade · dia 26 fechamento</t>
  </si>
  <si>
    <t xml:space="preserve">Documentos e cadastros</t>
  </si>
  <si>
    <t xml:space="preserve">Arquivo, busca por descrição, contratos (vigência/multa), cadastros, validades, dossiê</t>
  </si>
  <si>
    <t xml:space="preserve">Índice de arquivos, metadados, cadastros, validades</t>
  </si>
  <si>
    <t xml:space="preserve">Cloudflare R2, OCR/IA, Google Drive opcional</t>
  </si>
  <si>
    <t xml:space="preserve">Validades no resumo 7h · revisão mensal de cadastros</t>
  </si>
  <si>
    <t xml:space="preserve">Gestor financeiro PJ e PF</t>
  </si>
  <si>
    <t xml:space="preserve">Carteiras por CNPJ + PF; registro por texto/áudio/foto/extrato; a pagar/receber; conciliação; recorrências; DRE e fluxo; cobrança; NFS-e; análise; dossiê contador</t>
  </si>
  <si>
    <t xml:space="preserve">v2 manual · v3 Open Finance/cobrança/nota</t>
  </si>
  <si>
    <t xml:space="preserve">Carteiras, contas, lançamentos, categorias, regras, metas</t>
  </si>
  <si>
    <t xml:space="preserve">Pluggy (leitura), Asaas, Focus NFe, OFX/CSV</t>
  </si>
  <si>
    <t xml:space="preserve">7h vencimentos · alerta fora do padrão · seg caixa · dia 1 DRE · dia 5 contador</t>
  </si>
  <si>
    <t xml:space="preserve">Configuração atual</t>
  </si>
  <si>
    <t xml:space="preserve">Módulos ligados</t>
  </si>
  <si>
    <t xml:space="preserve">O bot é</t>
  </si>
  <si>
    <t xml:space="preserve">Ligações ativas</t>
  </si>
  <si>
    <t xml:space="preserve">Pacote mais próximo</t>
  </si>
  <si>
    <t xml:space="preserve">Pacotes comerciais</t>
  </si>
  <si>
    <t xml:space="preserve">Pacote</t>
  </si>
  <si>
    <t xml:space="preserve">Módulos</t>
  </si>
  <si>
    <t xml:space="preserve">Preço sugerido (R$/mês)</t>
  </si>
  <si>
    <t xml:space="preserve">Assistente</t>
  </si>
  <si>
    <t xml:space="preserve">mentorado, profissional liberal</t>
  </si>
  <si>
    <t xml:space="preserve">Executivo</t>
  </si>
  <si>
    <t xml:space="preserve">Diretor + Secretária</t>
  </si>
  <si>
    <t xml:space="preserve">gestor, consultor, vendedor</t>
  </si>
  <si>
    <t xml:space="preserve">Diretor + Secretária + Produção</t>
  </si>
  <si>
    <t xml:space="preserve">cliente AgilFac (confecção)</t>
  </si>
  <si>
    <t xml:space="preserve">v2/v3</t>
  </si>
  <si>
    <t xml:space="preserve">Controller</t>
  </si>
  <si>
    <t xml:space="preserve">Diretor + Financeiro + Documentos</t>
  </si>
  <si>
    <t xml:space="preserve">empresário com várias empresas e PF misturada</t>
  </si>
  <si>
    <t xml:space="preserve">Escritório completo</t>
  </si>
  <si>
    <t xml:space="preserve">todos</t>
  </si>
  <si>
    <t xml:space="preserve">sócio-gestor, holding como o Grupo K8</t>
  </si>
  <si>
    <t xml:space="preserve">Preços são proposta inicial para decisão; amarelo = editável. Ordem de construção: Diretor → Secretária → Financeiro manual → Documentos → Produção/AgilFac → integrações financeiras.</t>
  </si>
  <si>
    <t xml:space="preserve">Funções por módulo</t>
  </si>
  <si>
    <t xml:space="preserve">Status e prioridade são editáveis. Filtre por módulo.</t>
  </si>
  <si>
    <t xml:space="preserve">Função</t>
  </si>
  <si>
    <t xml:space="preserve">Prioridade</t>
  </si>
  <si>
    <t xml:space="preserve">Status</t>
  </si>
  <si>
    <t xml:space="preserve">Roteamento</t>
  </si>
  <si>
    <t xml:space="preserve">Classifica texto/áudio/foto e aciona o assessor certo; pedido ambíguo pergunta uma vez</t>
  </si>
  <si>
    <t xml:space="preserve">Não iniciada</t>
  </si>
  <si>
    <t xml:space="preserve">Consolidação</t>
  </si>
  <si>
    <t xml:space="preserve">Resumo 7h e fechamento 20h juntando o que cada módulo ligado tem para o dia</t>
  </si>
  <si>
    <t xml:space="preserve">Análise gerencial</t>
  </si>
  <si>
    <t xml:space="preserve">Resumo semanal (sexta) e mensal (dia 26): o que andou, travou, fugiu do padrão</t>
  </si>
  <si>
    <t xml:space="preserve">Consultoria</t>
  </si>
  <si>
    <t xml:space="preserve">Responde 'o que você faria?' com base no método KM: prioriza, próximo passo, risco</t>
  </si>
  <si>
    <t xml:space="preserve">Ideias e processos</t>
  </si>
  <si>
    <t xml:space="preserve">Ideia por áudio → problema → proposta → passos → responsável; guarda e cobra evolução</t>
  </si>
  <si>
    <t xml:space="preserve">Governança</t>
  </si>
  <si>
    <t xml:space="preserve">Liga/desliga módulos, usuários e permissões, confirmação antes de ação externa</t>
  </si>
  <si>
    <t xml:space="preserve">Memória</t>
  </si>
  <si>
    <t xml:space="preserve">Contexto do dono: empresas, pessoas-chave, metas, preferências</t>
  </si>
  <si>
    <t xml:space="preserve">Cria/move/cancela no Google Agenda por áudio ou texto; deslocamento; avisa antes</t>
  </si>
  <si>
    <t xml:space="preserve">Reuniões</t>
  </si>
  <si>
    <t xml:space="preserve">Link do Meet, convites, lembrete 1h antes, ata com decisões e ações</t>
  </si>
  <si>
    <t xml:space="preserve">Lembretes</t>
  </si>
  <si>
    <t xml:space="preserve">Pontuais e recorrentes; lembra terceiros quando autorizado</t>
  </si>
  <si>
    <t xml:space="preserve">E-mail</t>
  </si>
  <si>
    <t xml:space="preserve">Lê Gmail, resume, rascunha respostas para aprovação, arquiva e etiqueta</t>
  </si>
  <si>
    <t xml:space="preserve">Mensagens</t>
  </si>
  <si>
    <t xml:space="preserve">Rascunha WhatsApp/Telegram no tom do dono; envia só após OK</t>
  </si>
  <si>
    <t xml:space="preserve">Retornos</t>
  </si>
  <si>
    <t xml:space="preserve">Quem ficou de me responder / quem eu fiquei de responder; cobra</t>
  </si>
  <si>
    <t xml:space="preserve">Link de agendamento</t>
  </si>
  <si>
    <t xml:space="preserve">Página pública para clientes marcarem; confirma e remarca sozinha</t>
  </si>
  <si>
    <t xml:space="preserve">Consulta</t>
  </si>
  <si>
    <t xml:space="preserve">'Quantas OPs saíram hoje?', 'como está a Douglas?', 'quem não lançou?' (leitura)</t>
  </si>
  <si>
    <t xml:space="preserve">Movimentação</t>
  </si>
  <si>
    <t xml:space="preserve">Entrada de OP, entrega, finalização, embarque, NF-e; texto/áudio/foto do código (escrita com confirmação)</t>
  </si>
  <si>
    <t xml:space="preserve">Produtividade</t>
  </si>
  <si>
    <t xml:space="preserve">Eficiência por colaboradora, célula e empresa; projeção do mês e do prêmio</t>
  </si>
  <si>
    <t xml:space="preserve">Alertas</t>
  </si>
  <si>
    <t xml:space="preserve">OP vencendo em 2 dias, empresa &lt;60%, dia sem lançamento, reprovação alta</t>
  </si>
  <si>
    <t xml:space="preserve">Cobrança de equipe</t>
  </si>
  <si>
    <t xml:space="preserve">Lembra encarregada de lançar, cobra prazo da célula</t>
  </si>
  <si>
    <t xml:space="preserve">Fechamento</t>
  </si>
  <si>
    <t xml:space="preserve">Dia 26: resultado por empresa, prêmio, comparação com mês anterior</t>
  </si>
  <si>
    <t xml:space="preserve">Arquivo</t>
  </si>
  <si>
    <t xml:space="preserve">Recebe PDF/foto/print/áudio; classifica em pasta por tipo e empresa; confirma</t>
  </si>
  <si>
    <t xml:space="preserve">Busca</t>
  </si>
  <si>
    <t xml:space="preserve">Por descrição, não por nome de arquivo; devolve na conversa</t>
  </si>
  <si>
    <t xml:space="preserve">Contratos</t>
  </si>
  <si>
    <t xml:space="preserve">Extrai partes, valor, vigência, renovação, multa; lembretes de vencimento e aviso prévio</t>
  </si>
  <si>
    <t xml:space="preserve">Cadastros</t>
  </si>
  <si>
    <t xml:space="preserve">Fichas de clientes, fornecedores, colaboradores, prestadores; atualiza por mensagem</t>
  </si>
  <si>
    <t xml:space="preserve">Validades</t>
  </si>
  <si>
    <t xml:space="preserve">Alvará, licenças, certidões, CNH, seguros, exames: 30, 7 e 1 dia antes</t>
  </si>
  <si>
    <t xml:space="preserve">Dossiê</t>
  </si>
  <si>
    <t xml:space="preserve">Pacote por tema ('tudo da reforma', 'Douglas para o contador')</t>
  </si>
  <si>
    <t xml:space="preserve">Registro</t>
  </si>
  <si>
    <t xml:space="preserve">Texto, áudio, foto de nota/boleto/comprovante (OCR), extrato PDF/OFX, Open Finance</t>
  </si>
  <si>
    <t xml:space="preserve">Contas a pagar/receber</t>
  </si>
  <si>
    <t xml:space="preserve">Cadastra, lembra, dá baixa por comprovante ou extrato; marca atrasados</t>
  </si>
  <si>
    <t xml:space="preserve">Conciliação</t>
  </si>
  <si>
    <t xml:space="preserve">Casa lançamentos manuais com extrato; aponta o que está só de um lado</t>
  </si>
  <si>
    <t xml:space="preserve">Recorrências</t>
  </si>
  <si>
    <t xml:space="preserve">Aprende contas fixas e projeta próximos meses</t>
  </si>
  <si>
    <t xml:space="preserve">DRE e fluxo de caixa</t>
  </si>
  <si>
    <t xml:space="preserve">Por carteira e consolidado; mensal e acumulado; vs mês anterior e meta</t>
  </si>
  <si>
    <t xml:space="preserve">Cobrança</t>
  </si>
  <si>
    <t xml:space="preserve">Link de pagamento (Asaas), cobra cliente, aviso quando cair</t>
  </si>
  <si>
    <t xml:space="preserve">Emite NFS-e e guarda em Documentos</t>
  </si>
  <si>
    <t xml:space="preserve">Análise</t>
  </si>
  <si>
    <t xml:space="preserve">Toda resposta com leitura: tendência, desvio, risco de caixa, cortar/antecipar</t>
  </si>
  <si>
    <t xml:space="preserve">Contador</t>
  </si>
  <si>
    <t xml:space="preserve">Dossiê mensal por CNPJ: lançamentos, notas, comprovantes</t>
  </si>
  <si>
    <t xml:space="preserve">Resumo por módulo</t>
  </si>
  <si>
    <t xml:space="preserve">Concluídas</t>
  </si>
  <si>
    <t xml:space="preserve">% concluído</t>
  </si>
  <si>
    <t xml:space="preserve">Ligações entre assessores</t>
  </si>
  <si>
    <t xml:space="preserve">Uma ligação só existe quando os dois módulos estão ligados (aba Módulos). A coluna 'Ativa' recalcula.</t>
  </si>
  <si>
    <t xml:space="preserve">De</t>
  </si>
  <si>
    <t xml:space="preserve">Para</t>
  </si>
  <si>
    <t xml:space="preserve">O que passa</t>
  </si>
  <si>
    <t xml:space="preserve">Exemplo na conversa</t>
  </si>
  <si>
    <t xml:space="preserve">Ativa</t>
  </si>
  <si>
    <t xml:space="preserve">Compromisso com valor vira conta a pagar/receber</t>
  </si>
  <si>
    <t xml:space="preserve">'Reunião com o Carlos quinta, ele paga os 5 mil' → agenda + conta a receber</t>
  </si>
  <si>
    <t xml:space="preserve">Vencimento vira lembrete na agenda</t>
  </si>
  <si>
    <t xml:space="preserve">boleto do IPVA aparece no dia do dono</t>
  </si>
  <si>
    <t xml:space="preserve">OP finalizada/embarcada vira faturamento previsto; folha e prêmio viram custo</t>
  </si>
  <si>
    <t xml:space="preserve">'Fechou o mês: R$ 48 mil a faturar, prêmio R$ 3,2 mil'</t>
  </si>
  <si>
    <t xml:space="preserve">Custo por minuto produzido, margem por cliente</t>
  </si>
  <si>
    <t xml:space="preserve">'Cliente X dá 70% de eficiência mas 12% de margem'</t>
  </si>
  <si>
    <t xml:space="preserve">Prazo de OP vira compromisso de entrega; atraso vira retorno ao cliente</t>
  </si>
  <si>
    <t xml:space="preserve">'Avisar o cliente da OP 4471 que atrasa 2 dias'</t>
  </si>
  <si>
    <t xml:space="preserve">Contrato gera recorrência; nota recebida vira lançamento</t>
  </si>
  <si>
    <t xml:space="preserve">contrato de aluguel → conta fixa todo dia 10</t>
  </si>
  <si>
    <t xml:space="preserve">Validade vira lembrete</t>
  </si>
  <si>
    <t xml:space="preserve">alvará vence em 30 dias</t>
  </si>
  <si>
    <t xml:space="preserve">Cadastro de cliente/colaboradora alimenta o AgilFac</t>
  </si>
  <si>
    <t xml:space="preserve">nova costureira cadastrada → já aparece para lançamento</t>
  </si>
  <si>
    <t xml:space="preserve">Comprovante e nota arquivados na pasta certa</t>
  </si>
  <si>
    <t xml:space="preserve">foto do boleto pago → pasta Douglas/2026-10</t>
  </si>
  <si>
    <t xml:space="preserve">Todos</t>
  </si>
  <si>
    <t xml:space="preserve">Resumos, alertas e números do dia</t>
  </si>
  <si>
    <t xml:space="preserve">resumo das 7h e análise semanal cruzada</t>
  </si>
  <si>
    <t xml:space="preserve">Metas, prioridades, decisões do dono, contexto</t>
  </si>
  <si>
    <t xml:space="preserve">'mês de foco em caixa' muda o tom de todos</t>
  </si>
  <si>
    <t xml:space="preserve">Matriz liga/desliga (SIM = ligação ativa; — = sem ligação direta)</t>
  </si>
  <si>
    <t xml:space="preserve">De \ Para</t>
  </si>
  <si>
    <t xml:space="preserve">Fases do projeto</t>
  </si>
  <si>
    <t xml:space="preserve">Objetivo</t>
  </si>
  <si>
    <t xml:space="preserve">Início</t>
  </si>
  <si>
    <t xml:space="preserve">Semanas</t>
  </si>
  <si>
    <t xml:space="preserve">Fim (fórmula)</t>
  </si>
  <si>
    <t xml:space="preserve">Critério de saída</t>
  </si>
  <si>
    <t xml:space="preserve">Próximo passo</t>
  </si>
  <si>
    <t xml:space="preserve">0 · Validação</t>
  </si>
  <si>
    <t xml:space="preserve">10 empresários pagam antes de escrever código novo</t>
  </si>
  <si>
    <t xml:space="preserve">10 pagantes (ou 5 + 5 compromissos firmes) e lista dos 5 pedidos mais frequentes</t>
  </si>
  <si>
    <t xml:space="preserve">Página de oferta + lista de 30 nomes</t>
  </si>
  <si>
    <t xml:space="preserve">1 · MVP Telegram</t>
  </si>
  <si>
    <t xml:space="preserve">10 clientes usando todo dia sem operação manual (piloto no Telegram)</t>
  </si>
  <si>
    <t xml:space="preserve">10 ativos, ≥20 msgs/semana cada, 8 pagam o 2º mês</t>
  </si>
  <si>
    <t xml:space="preserve">Criar bot no @BotFather + adaptador de canal</t>
  </si>
  <si>
    <t xml:space="preserve">2 · WhatsApp, painel e conta compartilhada</t>
  </si>
  <si>
    <t xml:space="preserve">Migrar para WhatsApp Cloud API; produto vendável para empresa de 20–100 pessoas</t>
  </si>
  <si>
    <t xml:space="preserve">30 pagantes, ≥10 contas com 2+ usuários, churn &lt; 8%</t>
  </si>
  <si>
    <t xml:space="preserve">Ativar WhatsApp no app Meta + Postgres</t>
  </si>
  <si>
    <t xml:space="preserve">4 · Lançamento comercial</t>
  </si>
  <si>
    <t xml:space="preserve">Venda contínua sem mídia paga</t>
  </si>
  <si>
    <t xml:space="preserve">5 vendas/semana orgânicas por 4 semanas seguidas</t>
  </si>
  <si>
    <t xml:space="preserve">Decidir nome e marca</t>
  </si>
  <si>
    <t xml:space="preserve">3 · Financeiro e integrações</t>
  </si>
  <si>
    <t xml:space="preserve">Cobrar, ler extrato, emitir nota, AgilFac</t>
  </si>
  <si>
    <t xml:space="preserve">50 clientes, ≥20% usando cobrança/financeiro</t>
  </si>
  <si>
    <t xml:space="preserve">Reavaliar escopo com clientes</t>
  </si>
  <si>
    <t xml:space="preserve">Tarefas por fase</t>
  </si>
  <si>
    <t xml:space="preserve">Tarefa</t>
  </si>
  <si>
    <t xml:space="preserve">Responsável</t>
  </si>
  <si>
    <t xml:space="preserve">Prazo</t>
  </si>
  <si>
    <t xml:space="preserve">Observações</t>
  </si>
  <si>
    <t xml:space="preserve">0</t>
  </si>
  <si>
    <t xml:space="preserve">Definir a oferta em uma página (o que faz na 1ª semana, R$ 97/mês, 10 vagas)</t>
  </si>
  <si>
    <t xml:space="preserve">Kauê</t>
  </si>
  <si>
    <t xml:space="preserve">Listar 30 candidatos (mentorados, Masi, empresários orientados)</t>
  </si>
  <si>
    <t xml:space="preserve">15 conversas de 20 min com roteiro</t>
  </si>
  <si>
    <t xml:space="preserve">Pré-venda: cobrar 1º mês por Pix com data de entrega</t>
  </si>
  <si>
    <t xml:space="preserve">Concierge: operar o bot atual à mão para 2–3 clientes</t>
  </si>
  <si>
    <t xml:space="preserve">1</t>
  </si>
  <si>
    <t xml:space="preserve">Canal Telegram: Bot API (reaproveita bot de agenda), webhook texto/áudio/imagem, adaptador de canal isolado</t>
  </si>
  <si>
    <t xml:space="preserve">Kauê + Claude Code</t>
  </si>
  <si>
    <t xml:space="preserve">Orquestrador: transcrição, intenção, roteamento por persona</t>
  </si>
  <si>
    <t xml:space="preserve">Agenda: Google Agenda por cliente (OAuth) + link do Meet</t>
  </si>
  <si>
    <t xml:space="preserve">Tarefas e delegação (lembrete ao dono; cobrança ao colaborador só na v2)</t>
  </si>
  <si>
    <t xml:space="preserve">Resumo diário às 7h</t>
  </si>
  <si>
    <t xml:space="preserve">Metas da semana (define segunda, cobra sexta)</t>
  </si>
  <si>
    <t xml:space="preserve">Ata de reunião → tarefas</t>
  </si>
  <si>
    <t xml:space="preserve">Confirmação e recibo em toda ação</t>
  </si>
  <si>
    <t xml:space="preserve">Onboarding por conversa</t>
  </si>
  <si>
    <t xml:space="preserve">2</t>
  </si>
  <si>
    <t xml:space="preserve">Migração SQLite → Postgres</t>
  </si>
  <si>
    <t xml:space="preserve">Conta compartilhada: convite, papéis</t>
  </si>
  <si>
    <t xml:space="preserve">Painel web (tarefas, metas, agenda, atas, equipe)</t>
  </si>
  <si>
    <t xml:space="preserve">Documentos: pasta automática, busca, vencimento</t>
  </si>
  <si>
    <t xml:space="preserve">Migração Telegram → WhatsApp Cloud API (número verificado, templates, fundadores primeiro)</t>
  </si>
  <si>
    <t xml:space="preserve">Cobrança da equipe pelo WhatsApp do colaborador</t>
  </si>
  <si>
    <t xml:space="preserve">Cobrança da assinatura (Asaas/Stripe) + cancelamento</t>
  </si>
  <si>
    <t xml:space="preserve">4</t>
  </si>
  <si>
    <t xml:space="preserve">Decidir nome e identidade</t>
  </si>
  <si>
    <t xml:space="preserve">Landing page com vídeo de 60 s</t>
  </si>
  <si>
    <t xml:space="preserve">5 depoimentos dos fundadores</t>
  </si>
  <si>
    <t xml:space="preserve">Roteiro de demo ao vivo (10 min)</t>
  </si>
  <si>
    <t xml:space="preserve">Sequência de onboarding (dia 1, 3, 7, 14)</t>
  </si>
  <si>
    <t xml:space="preserve">3</t>
  </si>
  <si>
    <t xml:space="preserve">Cobrança de clientes via Asaas</t>
  </si>
  <si>
    <t xml:space="preserve">Open Finance via Pluggy</t>
  </si>
  <si>
    <t xml:space="preserve">NFS-e via Focus NFe</t>
  </si>
  <si>
    <t xml:space="preserve">Termos de uso e LGPD</t>
  </si>
  <si>
    <t xml:space="preserve">Jurídico</t>
  </si>
  <si>
    <t xml:space="preserve">Resumo</t>
  </si>
  <si>
    <t xml:space="preserve">Em andamento</t>
  </si>
  <si>
    <t xml:space="preserve">Concluída</t>
  </si>
  <si>
    <t xml:space="preserve">Pausada</t>
  </si>
  <si>
    <t xml:space="preserve">Total</t>
  </si>
  <si>
    <t xml:space="preserve">Contas, acessos e recursos</t>
  </si>
  <si>
    <t xml:space="preserve">Serviço</t>
  </si>
  <si>
    <t xml:space="preserve">Para quê</t>
  </si>
  <si>
    <t xml:space="preserve">Status atual</t>
  </si>
  <si>
    <t xml:space="preserve">Ação</t>
  </si>
  <si>
    <t xml:space="preserve">Bot Telegram (@BotFather)</t>
  </si>
  <si>
    <t xml:space="preserve">Canal do piloto</t>
  </si>
  <si>
    <t xml:space="preserve">Bot de agenda existe</t>
  </si>
  <si>
    <t xml:space="preserve">Criar bot novo com nome/avatar do assessor</t>
  </si>
  <si>
    <t xml:space="preserve">Número WhatsApp dedicado</t>
  </si>
  <si>
    <t xml:space="preserve">Canal definitivo</t>
  </si>
  <si>
    <t xml:space="preserve">Pendente</t>
  </si>
  <si>
    <t xml:space="preserve">Comprar chip ou número virtual</t>
  </si>
  <si>
    <t xml:space="preserve">Evolution API (self-hosted)</t>
  </si>
  <si>
    <t xml:space="preserve">Plano B se piloto rejeitar Telegram</t>
  </si>
  <si>
    <t xml:space="preserve">Só se necessário</t>
  </si>
  <si>
    <t xml:space="preserve">Google Cloud (OAuth Calendar/Meet)</t>
  </si>
  <si>
    <t xml:space="preserve">Agenda por cliente</t>
  </si>
  <si>
    <t xml:space="preserve">Existe para o bot atual</t>
  </si>
  <si>
    <t xml:space="preserve">Publicar app para múltiplos usuários</t>
  </si>
  <si>
    <t xml:space="preserve">Gemini API</t>
  </si>
  <si>
    <t xml:space="preserve">IA e transcrição</t>
  </si>
  <si>
    <t xml:space="preserve">Existe</t>
  </si>
  <si>
    <t xml:space="preserve">Meta for Developers (WhatsApp)</t>
  </si>
  <si>
    <t xml:space="preserve">API oficial</t>
  </si>
  <si>
    <t xml:space="preserve">App existe (Forzz)</t>
  </si>
  <si>
    <t xml:space="preserve">Adicionar produto WhatsApp, verificar empresa</t>
  </si>
  <si>
    <t xml:space="preserve">Cloudflare R2 / Backblaze</t>
  </si>
  <si>
    <t xml:space="preserve">Arquivos</t>
  </si>
  <si>
    <t xml:space="preserve">Criar conta</t>
  </si>
  <si>
    <t xml:space="preserve">Asaas</t>
  </si>
  <si>
    <t xml:space="preserve">Assinatura e cobrança</t>
  </si>
  <si>
    <t xml:space="preserve">2–3</t>
  </si>
  <si>
    <t xml:space="preserve">Conta PJ + API</t>
  </si>
  <si>
    <t xml:space="preserve">Pluggy</t>
  </si>
  <si>
    <t xml:space="preserve">Open Finance</t>
  </si>
  <si>
    <t xml:space="preserve">Contratar plano</t>
  </si>
  <si>
    <t xml:space="preserve">Focus NFe</t>
  </si>
  <si>
    <t xml:space="preserve">NFS-e</t>
  </si>
  <si>
    <t xml:space="preserve">Domínio e SSL</t>
  </si>
  <si>
    <t xml:space="preserve">App e landing</t>
  </si>
  <si>
    <t xml:space="preserve">Traefik/Let's Encrypt configurado</t>
  </si>
  <si>
    <t xml:space="preserve">Definir subdomínio</t>
  </si>
  <si>
    <t xml:space="preserve">Jurídico (termos + LGPD)</t>
  </si>
  <si>
    <t xml:space="preserve">Dados financeiros</t>
  </si>
  <si>
    <t xml:space="preserve">Contratar antes da Fase 3</t>
  </si>
  <si>
    <t xml:space="preserve">Dev Node (opcional)</t>
  </si>
  <si>
    <t xml:space="preserve">Se não houver 15 h/semana de Kauê</t>
  </si>
  <si>
    <t xml:space="preserve">1–2</t>
  </si>
  <si>
    <t xml:space="preserve">Decidir</t>
  </si>
  <si>
    <t xml:space="preserve">Contrato de 3 meses</t>
  </si>
  <si>
    <t xml:space="preserve">Custos mensais estimados por estágio (R$)</t>
  </si>
  <si>
    <t xml:space="preserve">Item</t>
  </si>
  <si>
    <t xml:space="preserve">MVP (10 clientes)</t>
  </si>
  <si>
    <t xml:space="preserve">Fase 2 (30 clientes)</t>
  </si>
  <si>
    <t xml:space="preserve">Fase 3 (50 clientes)</t>
  </si>
  <si>
    <t xml:space="preserve">Observação</t>
  </si>
  <si>
    <t xml:space="preserve">Número WhatsApp</t>
  </si>
  <si>
    <t xml:space="preserve">Telegram grátis no MVP; chip a partir da Fase 2</t>
  </si>
  <si>
    <t xml:space="preserve">~50 msgs/dia por cliente</t>
  </si>
  <si>
    <t xml:space="preserve">Meta Cloud API (conversas)</t>
  </si>
  <si>
    <t xml:space="preserve">só a partir da Fase 2; conversas iniciadas pelo usuário têm 24 h grátis</t>
  </si>
  <si>
    <t xml:space="preserve">Armazenamento (R2/Backblaze)</t>
  </si>
  <si>
    <t xml:space="preserve">VPS extra</t>
  </si>
  <si>
    <t xml:space="preserve">o atual aguenta até ~30 clientes</t>
  </si>
  <si>
    <t xml:space="preserve">Pluggy (Open Finance)</t>
  </si>
  <si>
    <t xml:space="preserve">~R$ 3 por conta conectada</t>
  </si>
  <si>
    <t xml:space="preserve">por transação, sem fixo</t>
  </si>
  <si>
    <t xml:space="preserve">Custo fixo total</t>
  </si>
  <si>
    <t xml:space="preserve">Clientes</t>
  </si>
  <si>
    <t xml:space="preserve">Ticket médio (R$/mês)</t>
  </si>
  <si>
    <t xml:space="preserve">Receita</t>
  </si>
  <si>
    <t xml:space="preserve">Margem</t>
  </si>
  <si>
    <t xml:space="preserve">Margem %</t>
  </si>
  <si>
    <t xml:space="preserve">Valores estimados por Kauê/Claude em 10/10/2026; ajustar com cotações reais. Amarelo = editável.</t>
  </si>
  <si>
    <t xml:space="preserve">Cronograma por semana (Gantt)</t>
  </si>
  <si>
    <t xml:space="preserve">Semanas contadas a partir de 13/10/2026. Início/duração vêm da aba Fases.</t>
  </si>
  <si>
    <t xml:space="preserve">Data base</t>
  </si>
  <si>
    <t xml:space="preserve">Fim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</si>
  <si>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</si>
  <si>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</si>
  <si>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</si>
  <si>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</si>
  <si>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</si>
  <si>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</si>
  <si>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</si>
  <si>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</si>
  <si>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</si>
  <si>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</si>
  <si>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</si>
  <si>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</si>
  <si>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</si>
  <si>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</si>
  <si>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</si>
  <si>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</si>
  <si>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</si>
  <si>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</si>
  <si>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Riscos</t>
  </si>
  <si>
    <t xml:space="preserve">Risco</t>
  </si>
  <si>
    <t xml:space="preserve">Impacto</t>
  </si>
  <si>
    <t xml:space="preserve">Probabilidade</t>
  </si>
  <si>
    <t xml:space="preserve">Mitigação</t>
  </si>
  <si>
    <t xml:space="preserve">Tempo de Kauê dividido entre 5 empresas</t>
  </si>
  <si>
    <t xml:space="preserve">Alto</t>
  </si>
  <si>
    <t xml:space="preserve">Alta</t>
  </si>
  <si>
    <t xml:space="preserve">Fase 0 antes de código; sem 15 h/semana, contratar dev por 3 meses</t>
  </si>
  <si>
    <t xml:space="preserve">Aberto</t>
  </si>
  <si>
    <t xml:space="preserve">Cliente recusa usar Telegram no piloto</t>
  </si>
  <si>
    <t xml:space="preserve">Média</t>
  </si>
  <si>
    <t xml:space="preserve">Perguntar na Fase 0; se &gt;50% recusar, Evolution API no WhatsApp; Cloud API na Fase 2</t>
  </si>
  <si>
    <t xml:space="preserve">IA erra ação com efeito externo</t>
  </si>
  <si>
    <t xml:space="preserve">Confirmação obrigatória antes de mensagem a terceiro; recibo de tudo</t>
  </si>
  <si>
    <t xml:space="preserve">Meu Assessor lança módulo empresa</t>
  </si>
  <si>
    <t xml:space="preserve">Médio</t>
  </si>
  <si>
    <t xml:space="preserve">Diferencial é método KM + distribuição + AgilFac</t>
  </si>
  <si>
    <t xml:space="preserve">Cliente quer financeiro no MVP</t>
  </si>
  <si>
    <t xml:space="preserve">Dizer não; apontar Meu Assessor para pessoal até o v3</t>
  </si>
  <si>
    <t xml:space="preserve">Dados financeiros sem base jurídica</t>
  </si>
  <si>
    <t xml:space="preserve">Baixa</t>
  </si>
  <si>
    <t xml:space="preserve">Termos e política antes da Fase 3; Open Finance só leitura</t>
  </si>
  <si>
    <t xml:space="preserve">Custo por conversa da Meta cresce</t>
  </si>
  <si>
    <t xml:space="preserve">Limitar mensagens proativas a 1–2/dia</t>
  </si>
  <si>
    <t xml:space="preserve">Decisões em aberto (só Kauê)</t>
  </si>
  <si>
    <t xml:space="preserve">Decisão</t>
  </si>
  <si>
    <t xml:space="preserve">Opções</t>
  </si>
  <si>
    <t xml:space="preserve">Decidido</t>
  </si>
  <si>
    <t xml:space="preserve">Data</t>
  </si>
  <si>
    <t xml:space="preserve">Justificativa</t>
  </si>
  <si>
    <t xml:space="preserve">Marca própria / dentro da marca KM</t>
  </si>
  <si>
    <t xml:space="preserve">Preço de fundador</t>
  </si>
  <si>
    <t xml:space="preserve">R$ 97 / R$ 147</t>
  </si>
  <si>
    <t xml:space="preserve">Nicho inicial</t>
  </si>
  <si>
    <t xml:space="preserve">Mentorados / sócios de confecção (AgilFac)</t>
  </si>
  <si>
    <t xml:space="preserve">Horas por semana nas Fases 1–2</t>
  </si>
  <si>
    <t xml:space="preserve">10 / 15 / 20</t>
  </si>
  <si>
    <t xml:space="preserve">Dev</t>
  </si>
  <si>
    <t xml:space="preserve">Só Kauê + Claude Code / dev contratado 3 meses</t>
  </si>
  <si>
    <t xml:space="preserve">Base técnica</t>
  </si>
  <si>
    <t xml:space="preserve">Reaproveitar bot Python / reescrever em Node</t>
  </si>
  <si>
    <t xml:space="preserve">Telegram (decidido 11/10) / Evolution API se piloto recusar</t>
  </si>
  <si>
    <t xml:space="preserve">Telegram</t>
  </si>
  <si>
    <t xml:space="preserve">Gratuito, sem bloqueio, reaproveita bot; migra na Fase 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</si>
</sst>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dd/mm/yyyy"/>
    <numFmt numFmtId="167" formatCode="#,##0"/>
    <numFmt numFmtId="168" formatCode="dd/mm"/>
    <numFmt numFmtId="169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1B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8"/>
      <name val="Arial"/>
      <family val="0"/>
      <charset val="1"/>
    </font>
    <font>
      <sz val="10"/>
      <color rgb="FF6C2BD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1B5F"/>
        <bgColor rgb="FF003366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C6EFCE"/>
        </patternFill>
      </fill>
    </dxf>
    <dxf>
      <fill>
        <patternFill patternType="solid">
          <fgColor rgb="FF2D1B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E0D2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E0D2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6C2BD9"/>
      <rgbColor rgb="FF2D1B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35.0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0" t="s">
        <v>16</v>
      </c>
    </row>
    <row r="14" customFormat="false" ht="15" hidden="false" customHeight="false" outlineLevel="0" collapsed="false">
      <c r="A14" s="5" t="s">
        <v>17</v>
      </c>
      <c r="B14" s="5" t="s">
        <v>18</v>
      </c>
    </row>
    <row r="15" customFormat="false" ht="15" hidden="false" customHeight="false" outlineLevel="0" collapsed="false">
      <c r="A15" s="6" t="s">
        <v>19</v>
      </c>
      <c r="B15" s="6" t="s">
        <v>20</v>
      </c>
    </row>
    <row r="16" customFormat="false" ht="15" hidden="false" customHeight="false" outlineLevel="0" collapsed="false">
      <c r="A16" s="6" t="s">
        <v>21</v>
      </c>
      <c r="B16" s="6" t="s">
        <v>22</v>
      </c>
    </row>
    <row r="17" customFormat="false" ht="15" hidden="false" customHeight="false" outlineLevel="0" collapsed="false">
      <c r="A17" s="6" t="s">
        <v>23</v>
      </c>
      <c r="B17" s="6" t="s">
        <v>24</v>
      </c>
    </row>
    <row r="18" customFormat="false" ht="15" hidden="false" customHeight="false" outlineLevel="0" collapsed="false">
      <c r="A18" s="6" t="s">
        <v>25</v>
      </c>
      <c r="B18" s="6" t="s">
        <v>26</v>
      </c>
    </row>
    <row r="19" customFormat="false" ht="15" hidden="false" customHeight="false" outlineLevel="0" collapsed="false">
      <c r="A19" s="6" t="s">
        <v>27</v>
      </c>
      <c r="B19" s="6" t="s">
        <v>28</v>
      </c>
    </row>
    <row r="21" customFormat="false" ht="15" hidden="false" customHeight="false" outlineLevel="0" collapsed="false">
      <c r="A21" s="7"/>
    </row>
    <row r="22" customFormat="false" ht="15" hidden="false" customHeight="false" outlineLevel="0" collapsed="false">
      <c r="A22" s="7" t="s">
        <v>29</v>
      </c>
    </row>
    <row r="23" customFormat="false" ht="15" hidden="false" customHeight="false" outlineLevel="0" collapsed="false">
      <c r="A23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31</v>
      </c>
    </row>
    <row r="3" customFormat="false" ht="15" hidden="false" customHeight="false" outlineLevel="0" collapsed="false">
      <c r="A3" s="8" t="s">
        <v>32</v>
      </c>
      <c r="B3" s="8" t="s">
        <v>33</v>
      </c>
      <c r="C3" s="8" t="s">
        <v>34</v>
      </c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37</v>
      </c>
    </row>
    <row r="5" customFormat="false" ht="15" hidden="false" customHeight="false" outlineLevel="0" collapsed="false">
      <c r="A5" s="6" t="s">
        <v>38</v>
      </c>
      <c r="B5" s="6" t="s">
        <v>39</v>
      </c>
      <c r="C5" s="6" t="s">
        <v>37</v>
      </c>
    </row>
    <row r="6" customFormat="false" ht="23.85" hidden="false" customHeight="false" outlineLevel="0" collapsed="false">
      <c r="A6" s="6" t="s">
        <v>40</v>
      </c>
      <c r="B6" s="6" t="s">
        <v>41</v>
      </c>
      <c r="C6" s="6" t="s">
        <v>37</v>
      </c>
    </row>
    <row r="7" customFormat="false" ht="15" hidden="false" customHeight="false" outlineLevel="0" collapsed="false">
      <c r="A7" s="6" t="s">
        <v>25</v>
      </c>
      <c r="B7" s="6" t="s">
        <v>42</v>
      </c>
      <c r="C7" s="6" t="s">
        <v>37</v>
      </c>
    </row>
    <row r="8" customFormat="false" ht="15" hidden="false" customHeight="false" outlineLevel="0" collapsed="false">
      <c r="A8" s="6" t="s">
        <v>43</v>
      </c>
      <c r="B8" s="6" t="s">
        <v>44</v>
      </c>
      <c r="C8" s="6" t="s">
        <v>37</v>
      </c>
    </row>
    <row r="9" customFormat="false" ht="15" hidden="false" customHeight="false" outlineLevel="0" collapsed="false">
      <c r="A9" s="6" t="s">
        <v>45</v>
      </c>
      <c r="B9" s="6" t="s">
        <v>46</v>
      </c>
      <c r="C9" s="6" t="s">
        <v>47</v>
      </c>
    </row>
    <row r="10" customFormat="false" ht="15" hidden="false" customHeight="false" outlineLevel="0" collapsed="false">
      <c r="A10" s="6" t="s">
        <v>48</v>
      </c>
      <c r="B10" s="6" t="s">
        <v>49</v>
      </c>
      <c r="C10" s="6" t="s">
        <v>47</v>
      </c>
    </row>
    <row r="11" customFormat="false" ht="15" hidden="false" customHeight="false" outlineLevel="0" collapsed="false">
      <c r="A11" s="6" t="s">
        <v>50</v>
      </c>
      <c r="B11" s="6" t="s">
        <v>51</v>
      </c>
      <c r="C11" s="6" t="s">
        <v>47</v>
      </c>
    </row>
    <row r="12" customFormat="false" ht="15" hidden="false" customHeight="false" outlineLevel="0" collapsed="false">
      <c r="A12" s="6" t="s">
        <v>52</v>
      </c>
      <c r="B12" s="6" t="s">
        <v>53</v>
      </c>
      <c r="C12" s="6" t="s">
        <v>54</v>
      </c>
    </row>
    <row r="13" customFormat="false" ht="15" hidden="false" customHeight="false" outlineLevel="0" collapsed="false">
      <c r="A13" s="6" t="s">
        <v>55</v>
      </c>
      <c r="B13" s="6" t="s">
        <v>56</v>
      </c>
      <c r="C13" s="6" t="s">
        <v>54</v>
      </c>
    </row>
    <row r="14" customFormat="false" ht="15" hidden="false" customHeight="false" outlineLevel="0" collapsed="false">
      <c r="A14" s="6" t="s">
        <v>57</v>
      </c>
      <c r="B14" s="6" t="s">
        <v>58</v>
      </c>
      <c r="C14" s="6" t="s">
        <v>54</v>
      </c>
    </row>
    <row r="15" customFormat="false" ht="15" hidden="false" customHeight="false" outlineLevel="0" collapsed="false">
      <c r="A15" s="6" t="s">
        <v>59</v>
      </c>
      <c r="B15" s="6" t="s">
        <v>60</v>
      </c>
      <c r="C15" s="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48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7" t="s">
        <v>62</v>
      </c>
    </row>
    <row r="4" customFormat="false" ht="15" hidden="false" customHeight="false" outlineLevel="0" collapsed="false">
      <c r="A4" s="8" t="s">
        <v>32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</row>
    <row r="5" customFormat="false" ht="23.85" hidden="false" customHeight="false" outlineLevel="0" collapsed="false">
      <c r="A5" s="6" t="s">
        <v>70</v>
      </c>
      <c r="B5" s="6" t="s">
        <v>71</v>
      </c>
      <c r="C5" s="6" t="s">
        <v>72</v>
      </c>
      <c r="D5" s="6" t="s">
        <v>37</v>
      </c>
      <c r="E5" s="9" t="s">
        <v>73</v>
      </c>
      <c r="F5" s="6" t="s">
        <v>74</v>
      </c>
      <c r="G5" s="6" t="s">
        <v>75</v>
      </c>
      <c r="H5" s="6" t="s">
        <v>76</v>
      </c>
    </row>
    <row r="6" customFormat="false" ht="23.85" hidden="false" customHeight="false" outlineLevel="0" collapsed="false">
      <c r="A6" s="6" t="s">
        <v>77</v>
      </c>
      <c r="B6" s="6" t="s">
        <v>78</v>
      </c>
      <c r="C6" s="6" t="s">
        <v>79</v>
      </c>
      <c r="D6" s="6" t="s">
        <v>80</v>
      </c>
      <c r="E6" s="10" t="s">
        <v>73</v>
      </c>
      <c r="F6" s="6" t="s">
        <v>81</v>
      </c>
      <c r="G6" s="6" t="s">
        <v>82</v>
      </c>
      <c r="H6" s="6" t="s">
        <v>83</v>
      </c>
    </row>
    <row r="7" customFormat="false" ht="23.85" hidden="false" customHeight="false" outlineLevel="0" collapsed="false">
      <c r="A7" s="6" t="s">
        <v>84</v>
      </c>
      <c r="B7" s="6" t="s">
        <v>85</v>
      </c>
      <c r="C7" s="6" t="s">
        <v>86</v>
      </c>
      <c r="D7" s="6" t="s">
        <v>87</v>
      </c>
      <c r="E7" s="10" t="s">
        <v>88</v>
      </c>
      <c r="F7" s="6" t="s">
        <v>89</v>
      </c>
      <c r="G7" s="6" t="s">
        <v>90</v>
      </c>
      <c r="H7" s="6" t="s">
        <v>91</v>
      </c>
    </row>
    <row r="8" customFormat="false" ht="23.85" hidden="false" customHeight="false" outlineLevel="0" collapsed="false">
      <c r="A8" s="6" t="s">
        <v>50</v>
      </c>
      <c r="B8" s="6" t="s">
        <v>92</v>
      </c>
      <c r="C8" s="6" t="s">
        <v>93</v>
      </c>
      <c r="D8" s="6" t="s">
        <v>47</v>
      </c>
      <c r="E8" s="10" t="s">
        <v>88</v>
      </c>
      <c r="F8" s="6" t="s">
        <v>94</v>
      </c>
      <c r="G8" s="6" t="s">
        <v>95</v>
      </c>
      <c r="H8" s="6" t="s">
        <v>96</v>
      </c>
    </row>
    <row r="9" customFormat="false" ht="35.05" hidden="false" customHeight="false" outlineLevel="0" collapsed="false">
      <c r="A9" s="6" t="s">
        <v>55</v>
      </c>
      <c r="B9" s="6" t="s">
        <v>97</v>
      </c>
      <c r="C9" s="6" t="s">
        <v>98</v>
      </c>
      <c r="D9" s="6" t="s">
        <v>99</v>
      </c>
      <c r="E9" s="10" t="s">
        <v>88</v>
      </c>
      <c r="F9" s="6" t="s">
        <v>100</v>
      </c>
      <c r="G9" s="6" t="s">
        <v>101</v>
      </c>
      <c r="H9" s="6" t="s">
        <v>102</v>
      </c>
    </row>
    <row r="11" customFormat="false" ht="15" hidden="false" customHeight="false" outlineLevel="0" collapsed="false">
      <c r="A11" s="3" t="s">
        <v>103</v>
      </c>
    </row>
    <row r="12" customFormat="false" ht="15" hidden="false" customHeight="false" outlineLevel="0" collapsed="false">
      <c r="A12" s="2" t="s">
        <v>104</v>
      </c>
      <c r="B12" s="3" t="n">
        <f aca="false">COUNTIF(E5:E9,"SIM")</f>
        <v>2</v>
      </c>
    </row>
    <row r="13" customFormat="false" ht="15" hidden="false" customHeight="false" outlineLevel="0" collapsed="false">
      <c r="A13" s="2" t="s">
        <v>105</v>
      </c>
      <c r="B13" s="3" t="str">
        <f aca="false">IF(B12=1,"Assistente pessoal (só Diretor)",IF(AND(E6="SIM",E7="NÃO",E8="NÃO",E9="NÃO"),"Assistente executivo",IF(AND(E7="SIM",E8="NÃO",E9="NÃO"),"Assessor de produção do AgilFac",IF(AND(E9="SIM",E8="SIM",E6="NÃO",E7="NÃO"),"Controller",IF(B12=5,"Escritório completo","Combinação personalizada")))))</f>
        <v>Assistente executivo</v>
      </c>
    </row>
    <row r="14" customFormat="false" ht="15" hidden="false" customHeight="false" outlineLevel="0" collapsed="false">
      <c r="A14" s="2" t="s">
        <v>106</v>
      </c>
      <c r="B14" s="3" t="n">
        <f aca="false">Ligações!B17</f>
        <v>2</v>
      </c>
    </row>
    <row r="15" customFormat="false" ht="15" hidden="false" customHeight="false" outlineLevel="0" collapsed="false">
      <c r="A15" s="2" t="s">
        <v>107</v>
      </c>
      <c r="B15" s="3" t="str">
        <f aca="false">IF(B12=5,"Escritório completo",IF(AND(E9="SIM",E8="SIM"),"Controller",IF(E7="SIM","Produção",IF(E6="SIM","Executivo","Assistente"))))</f>
        <v>Executivo</v>
      </c>
    </row>
    <row r="17" customFormat="false" ht="15" hidden="false" customHeight="false" outlineLevel="0" collapsed="false">
      <c r="A17" s="3" t="s">
        <v>108</v>
      </c>
    </row>
    <row r="18" customFormat="false" ht="39.55" hidden="false" customHeight="false" outlineLevel="0" collapsed="false">
      <c r="A18" s="8" t="s">
        <v>109</v>
      </c>
      <c r="B18" s="8" t="s">
        <v>110</v>
      </c>
      <c r="C18" s="8" t="s">
        <v>4</v>
      </c>
      <c r="D18" s="8" t="s">
        <v>65</v>
      </c>
      <c r="E18" s="8" t="s">
        <v>111</v>
      </c>
    </row>
    <row r="19" customFormat="false" ht="15" hidden="false" customHeight="false" outlineLevel="0" collapsed="false">
      <c r="A19" s="6" t="s">
        <v>112</v>
      </c>
      <c r="B19" s="6" t="s">
        <v>70</v>
      </c>
      <c r="C19" s="6" t="s">
        <v>113</v>
      </c>
      <c r="D19" s="6" t="s">
        <v>37</v>
      </c>
      <c r="E19" s="10" t="n">
        <v>67</v>
      </c>
    </row>
    <row r="20" customFormat="false" ht="15" hidden="false" customHeight="false" outlineLevel="0" collapsed="false">
      <c r="A20" s="6" t="s">
        <v>114</v>
      </c>
      <c r="B20" s="6" t="s">
        <v>115</v>
      </c>
      <c r="C20" s="6" t="s">
        <v>116</v>
      </c>
      <c r="D20" s="6" t="s">
        <v>37</v>
      </c>
      <c r="E20" s="10" t="n">
        <v>97</v>
      </c>
    </row>
    <row r="21" customFormat="false" ht="15" hidden="false" customHeight="false" outlineLevel="0" collapsed="false">
      <c r="A21" s="6" t="s">
        <v>84</v>
      </c>
      <c r="B21" s="6" t="s">
        <v>117</v>
      </c>
      <c r="C21" s="6" t="s">
        <v>118</v>
      </c>
      <c r="D21" s="6" t="s">
        <v>119</v>
      </c>
      <c r="E21" s="10" t="n">
        <v>197</v>
      </c>
    </row>
    <row r="22" customFormat="false" ht="23.85" hidden="false" customHeight="false" outlineLevel="0" collapsed="false">
      <c r="A22" s="6" t="s">
        <v>120</v>
      </c>
      <c r="B22" s="6" t="s">
        <v>121</v>
      </c>
      <c r="C22" s="6" t="s">
        <v>122</v>
      </c>
      <c r="D22" s="6" t="s">
        <v>47</v>
      </c>
      <c r="E22" s="10" t="n">
        <v>197</v>
      </c>
    </row>
    <row r="23" customFormat="false" ht="23.85" hidden="false" customHeight="false" outlineLevel="0" collapsed="false">
      <c r="A23" s="6" t="s">
        <v>123</v>
      </c>
      <c r="B23" s="6" t="s">
        <v>124</v>
      </c>
      <c r="C23" s="6" t="s">
        <v>125</v>
      </c>
      <c r="D23" s="6" t="s">
        <v>54</v>
      </c>
      <c r="E23" s="10" t="n">
        <v>297</v>
      </c>
    </row>
    <row r="25" customFormat="false" ht="15" hidden="false" customHeight="false" outlineLevel="0" collapsed="false">
      <c r="A25" s="7" t="s">
        <v>126</v>
      </c>
    </row>
  </sheetData>
  <conditionalFormatting sqref="E5:E9">
    <cfRule type="cellIs" priority="2" operator="equal" aboveAverage="0" equalAverage="0" bottom="0" percent="0" rank="0" text="" dxfId="0">
      <formula>"SIM"</formula>
    </cfRule>
  </conditionalFormatting>
  <dataValidations count="1">
    <dataValidation allowBlank="false" errorStyle="stop" operator="between" showDropDown="false" showErrorMessage="false" showInputMessage="false" sqref="E6:E9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8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7" t="s">
        <v>128</v>
      </c>
    </row>
    <row r="4" customFormat="false" ht="15" hidden="false" customHeight="false" outlineLevel="0" collapsed="false">
      <c r="A4" s="8" t="s">
        <v>32</v>
      </c>
      <c r="B4" s="8" t="s">
        <v>129</v>
      </c>
      <c r="C4" s="8" t="s">
        <v>33</v>
      </c>
      <c r="D4" s="8" t="s">
        <v>65</v>
      </c>
      <c r="E4" s="8" t="s">
        <v>130</v>
      </c>
      <c r="F4" s="8" t="s">
        <v>131</v>
      </c>
    </row>
    <row r="5" customFormat="false" ht="15" hidden="false" customHeight="false" outlineLevel="0" collapsed="false">
      <c r="A5" s="6" t="s">
        <v>70</v>
      </c>
      <c r="B5" s="6" t="s">
        <v>132</v>
      </c>
      <c r="C5" s="6" t="s">
        <v>133</v>
      </c>
      <c r="D5" s="6" t="s">
        <v>37</v>
      </c>
      <c r="E5" s="10"/>
      <c r="F5" s="10" t="s">
        <v>134</v>
      </c>
    </row>
    <row r="6" customFormat="false" ht="15" hidden="false" customHeight="false" outlineLevel="0" collapsed="false">
      <c r="A6" s="6" t="s">
        <v>70</v>
      </c>
      <c r="B6" s="6" t="s">
        <v>135</v>
      </c>
      <c r="C6" s="6" t="s">
        <v>136</v>
      </c>
      <c r="D6" s="6" t="s">
        <v>37</v>
      </c>
      <c r="E6" s="10"/>
      <c r="F6" s="10" t="s">
        <v>134</v>
      </c>
    </row>
    <row r="7" customFormat="false" ht="15" hidden="false" customHeight="false" outlineLevel="0" collapsed="false">
      <c r="A7" s="6" t="s">
        <v>70</v>
      </c>
      <c r="B7" s="6" t="s">
        <v>137</v>
      </c>
      <c r="C7" s="6" t="s">
        <v>138</v>
      </c>
      <c r="D7" s="6" t="s">
        <v>37</v>
      </c>
      <c r="E7" s="10"/>
      <c r="F7" s="10" t="s">
        <v>134</v>
      </c>
    </row>
    <row r="8" customFormat="false" ht="15" hidden="false" customHeight="false" outlineLevel="0" collapsed="false">
      <c r="A8" s="6" t="s">
        <v>70</v>
      </c>
      <c r="B8" s="6" t="s">
        <v>139</v>
      </c>
      <c r="C8" s="6" t="s">
        <v>140</v>
      </c>
      <c r="D8" s="6" t="s">
        <v>37</v>
      </c>
      <c r="E8" s="10"/>
      <c r="F8" s="10" t="s">
        <v>134</v>
      </c>
    </row>
    <row r="9" customFormat="false" ht="15" hidden="false" customHeight="false" outlineLevel="0" collapsed="false">
      <c r="A9" s="6" t="s">
        <v>70</v>
      </c>
      <c r="B9" s="6" t="s">
        <v>141</v>
      </c>
      <c r="C9" s="6" t="s">
        <v>142</v>
      </c>
      <c r="D9" s="6" t="s">
        <v>37</v>
      </c>
      <c r="E9" s="10"/>
      <c r="F9" s="10" t="s">
        <v>134</v>
      </c>
    </row>
    <row r="10" customFormat="false" ht="15" hidden="false" customHeight="false" outlineLevel="0" collapsed="false">
      <c r="A10" s="6" t="s">
        <v>70</v>
      </c>
      <c r="B10" s="6" t="s">
        <v>143</v>
      </c>
      <c r="C10" s="6" t="s">
        <v>144</v>
      </c>
      <c r="D10" s="6" t="s">
        <v>37</v>
      </c>
      <c r="E10" s="10"/>
      <c r="F10" s="10" t="s">
        <v>134</v>
      </c>
    </row>
    <row r="11" customFormat="false" ht="15" hidden="false" customHeight="false" outlineLevel="0" collapsed="false">
      <c r="A11" s="6" t="s">
        <v>70</v>
      </c>
      <c r="B11" s="6" t="s">
        <v>145</v>
      </c>
      <c r="C11" s="6" t="s">
        <v>146</v>
      </c>
      <c r="D11" s="6" t="s">
        <v>37</v>
      </c>
      <c r="E11" s="10"/>
      <c r="F11" s="10" t="s">
        <v>134</v>
      </c>
    </row>
    <row r="12" customFormat="false" ht="15" hidden="false" customHeight="false" outlineLevel="0" collapsed="false">
      <c r="A12" s="6" t="s">
        <v>77</v>
      </c>
      <c r="B12" s="6" t="s">
        <v>38</v>
      </c>
      <c r="C12" s="6" t="s">
        <v>147</v>
      </c>
      <c r="D12" s="6" t="s">
        <v>37</v>
      </c>
      <c r="E12" s="10"/>
      <c r="F12" s="10" t="s">
        <v>134</v>
      </c>
    </row>
    <row r="13" customFormat="false" ht="15" hidden="false" customHeight="false" outlineLevel="0" collapsed="false">
      <c r="A13" s="6" t="s">
        <v>77</v>
      </c>
      <c r="B13" s="6" t="s">
        <v>148</v>
      </c>
      <c r="C13" s="6" t="s">
        <v>149</v>
      </c>
      <c r="D13" s="6" t="s">
        <v>37</v>
      </c>
      <c r="E13" s="10"/>
      <c r="F13" s="10" t="s">
        <v>134</v>
      </c>
    </row>
    <row r="14" customFormat="false" ht="15" hidden="false" customHeight="false" outlineLevel="0" collapsed="false">
      <c r="A14" s="6" t="s">
        <v>77</v>
      </c>
      <c r="B14" s="6" t="s">
        <v>150</v>
      </c>
      <c r="C14" s="6" t="s">
        <v>151</v>
      </c>
      <c r="D14" s="6" t="s">
        <v>37</v>
      </c>
      <c r="E14" s="10"/>
      <c r="F14" s="10" t="s">
        <v>134</v>
      </c>
    </row>
    <row r="15" customFormat="false" ht="15" hidden="false" customHeight="false" outlineLevel="0" collapsed="false">
      <c r="A15" s="6" t="s">
        <v>77</v>
      </c>
      <c r="B15" s="6" t="s">
        <v>152</v>
      </c>
      <c r="C15" s="6" t="s">
        <v>153</v>
      </c>
      <c r="D15" s="6" t="s">
        <v>47</v>
      </c>
      <c r="E15" s="10"/>
      <c r="F15" s="10" t="s">
        <v>134</v>
      </c>
    </row>
    <row r="16" customFormat="false" ht="15" hidden="false" customHeight="false" outlineLevel="0" collapsed="false">
      <c r="A16" s="6" t="s">
        <v>77</v>
      </c>
      <c r="B16" s="6" t="s">
        <v>154</v>
      </c>
      <c r="C16" s="6" t="s">
        <v>155</v>
      </c>
      <c r="D16" s="6" t="s">
        <v>37</v>
      </c>
      <c r="E16" s="10"/>
      <c r="F16" s="10" t="s">
        <v>134</v>
      </c>
    </row>
    <row r="17" customFormat="false" ht="15" hidden="false" customHeight="false" outlineLevel="0" collapsed="false">
      <c r="A17" s="6" t="s">
        <v>77</v>
      </c>
      <c r="B17" s="6" t="s">
        <v>156</v>
      </c>
      <c r="C17" s="6" t="s">
        <v>157</v>
      </c>
      <c r="D17" s="6" t="s">
        <v>37</v>
      </c>
      <c r="E17" s="10"/>
      <c r="F17" s="10" t="s">
        <v>134</v>
      </c>
    </row>
    <row r="18" customFormat="false" ht="15" hidden="false" customHeight="false" outlineLevel="0" collapsed="false">
      <c r="A18" s="6" t="s">
        <v>77</v>
      </c>
      <c r="B18" s="6" t="s">
        <v>158</v>
      </c>
      <c r="C18" s="6" t="s">
        <v>159</v>
      </c>
      <c r="D18" s="6" t="s">
        <v>47</v>
      </c>
      <c r="E18" s="10"/>
      <c r="F18" s="10" t="s">
        <v>134</v>
      </c>
    </row>
    <row r="19" customFormat="false" ht="15" hidden="false" customHeight="false" outlineLevel="0" collapsed="false">
      <c r="A19" s="6" t="s">
        <v>84</v>
      </c>
      <c r="B19" s="6" t="s">
        <v>160</v>
      </c>
      <c r="C19" s="6" t="s">
        <v>161</v>
      </c>
      <c r="D19" s="6" t="s">
        <v>54</v>
      </c>
      <c r="E19" s="10"/>
      <c r="F19" s="10" t="s">
        <v>134</v>
      </c>
    </row>
    <row r="20" customFormat="false" ht="23.85" hidden="false" customHeight="false" outlineLevel="0" collapsed="false">
      <c r="A20" s="6" t="s">
        <v>84</v>
      </c>
      <c r="B20" s="6" t="s">
        <v>162</v>
      </c>
      <c r="C20" s="6" t="s">
        <v>163</v>
      </c>
      <c r="D20" s="6" t="s">
        <v>54</v>
      </c>
      <c r="E20" s="10"/>
      <c r="F20" s="10" t="s">
        <v>134</v>
      </c>
    </row>
    <row r="21" customFormat="false" ht="15" hidden="false" customHeight="false" outlineLevel="0" collapsed="false">
      <c r="A21" s="6" t="s">
        <v>84</v>
      </c>
      <c r="B21" s="6" t="s">
        <v>164</v>
      </c>
      <c r="C21" s="6" t="s">
        <v>165</v>
      </c>
      <c r="D21" s="6" t="s">
        <v>54</v>
      </c>
      <c r="E21" s="10"/>
      <c r="F21" s="10" t="s">
        <v>134</v>
      </c>
    </row>
    <row r="22" customFormat="false" ht="15" hidden="false" customHeight="false" outlineLevel="0" collapsed="false">
      <c r="A22" s="6" t="s">
        <v>84</v>
      </c>
      <c r="B22" s="6" t="s">
        <v>166</v>
      </c>
      <c r="C22" s="6" t="s">
        <v>167</v>
      </c>
      <c r="D22" s="6" t="s">
        <v>54</v>
      </c>
      <c r="E22" s="10"/>
      <c r="F22" s="10" t="s">
        <v>134</v>
      </c>
    </row>
    <row r="23" customFormat="false" ht="15" hidden="false" customHeight="false" outlineLevel="0" collapsed="false">
      <c r="A23" s="6" t="s">
        <v>84</v>
      </c>
      <c r="B23" s="6" t="s">
        <v>168</v>
      </c>
      <c r="C23" s="6" t="s">
        <v>169</v>
      </c>
      <c r="D23" s="6" t="s">
        <v>54</v>
      </c>
      <c r="E23" s="10"/>
      <c r="F23" s="10" t="s">
        <v>134</v>
      </c>
    </row>
    <row r="24" customFormat="false" ht="15" hidden="false" customHeight="false" outlineLevel="0" collapsed="false">
      <c r="A24" s="6" t="s">
        <v>84</v>
      </c>
      <c r="B24" s="6" t="s">
        <v>170</v>
      </c>
      <c r="C24" s="6" t="s">
        <v>171</v>
      </c>
      <c r="D24" s="6" t="s">
        <v>54</v>
      </c>
      <c r="E24" s="10"/>
      <c r="F24" s="10" t="s">
        <v>134</v>
      </c>
    </row>
    <row r="25" customFormat="false" ht="15" hidden="false" customHeight="false" outlineLevel="0" collapsed="false">
      <c r="A25" s="6" t="s">
        <v>50</v>
      </c>
      <c r="B25" s="6" t="s">
        <v>172</v>
      </c>
      <c r="C25" s="6" t="s">
        <v>173</v>
      </c>
      <c r="D25" s="6" t="s">
        <v>47</v>
      </c>
      <c r="E25" s="10"/>
      <c r="F25" s="10" t="s">
        <v>134</v>
      </c>
    </row>
    <row r="26" customFormat="false" ht="15" hidden="false" customHeight="false" outlineLevel="0" collapsed="false">
      <c r="A26" s="6" t="s">
        <v>50</v>
      </c>
      <c r="B26" s="6" t="s">
        <v>174</v>
      </c>
      <c r="C26" s="6" t="s">
        <v>175</v>
      </c>
      <c r="D26" s="6" t="s">
        <v>47</v>
      </c>
      <c r="E26" s="10"/>
      <c r="F26" s="10" t="s">
        <v>134</v>
      </c>
    </row>
    <row r="27" customFormat="false" ht="15" hidden="false" customHeight="false" outlineLevel="0" collapsed="false">
      <c r="A27" s="6" t="s">
        <v>50</v>
      </c>
      <c r="B27" s="6" t="s">
        <v>176</v>
      </c>
      <c r="C27" s="6" t="s">
        <v>177</v>
      </c>
      <c r="D27" s="6" t="s">
        <v>47</v>
      </c>
      <c r="E27" s="10"/>
      <c r="F27" s="10" t="s">
        <v>134</v>
      </c>
    </row>
    <row r="28" customFormat="false" ht="15" hidden="false" customHeight="false" outlineLevel="0" collapsed="false">
      <c r="A28" s="6" t="s">
        <v>50</v>
      </c>
      <c r="B28" s="6" t="s">
        <v>178</v>
      </c>
      <c r="C28" s="6" t="s">
        <v>179</v>
      </c>
      <c r="D28" s="6" t="s">
        <v>47</v>
      </c>
      <c r="E28" s="10"/>
      <c r="F28" s="10" t="s">
        <v>134</v>
      </c>
    </row>
    <row r="29" customFormat="false" ht="15" hidden="false" customHeight="false" outlineLevel="0" collapsed="false">
      <c r="A29" s="6" t="s">
        <v>50</v>
      </c>
      <c r="B29" s="6" t="s">
        <v>180</v>
      </c>
      <c r="C29" s="6" t="s">
        <v>181</v>
      </c>
      <c r="D29" s="6" t="s">
        <v>47</v>
      </c>
      <c r="E29" s="10"/>
      <c r="F29" s="10" t="s">
        <v>134</v>
      </c>
    </row>
    <row r="30" customFormat="false" ht="15" hidden="false" customHeight="false" outlineLevel="0" collapsed="false">
      <c r="A30" s="6" t="s">
        <v>50</v>
      </c>
      <c r="B30" s="6" t="s">
        <v>182</v>
      </c>
      <c r="C30" s="6" t="s">
        <v>183</v>
      </c>
      <c r="D30" s="6" t="s">
        <v>47</v>
      </c>
      <c r="E30" s="10"/>
      <c r="F30" s="10" t="s">
        <v>134</v>
      </c>
    </row>
    <row r="31" customFormat="false" ht="15" hidden="false" customHeight="false" outlineLevel="0" collapsed="false">
      <c r="A31" s="6" t="s">
        <v>55</v>
      </c>
      <c r="B31" s="6" t="s">
        <v>184</v>
      </c>
      <c r="C31" s="6" t="s">
        <v>185</v>
      </c>
      <c r="D31" s="6" t="s">
        <v>47</v>
      </c>
      <c r="E31" s="10"/>
      <c r="F31" s="10" t="s">
        <v>134</v>
      </c>
    </row>
    <row r="32" customFormat="false" ht="15" hidden="false" customHeight="false" outlineLevel="0" collapsed="false">
      <c r="A32" s="6" t="s">
        <v>55</v>
      </c>
      <c r="B32" s="6" t="s">
        <v>186</v>
      </c>
      <c r="C32" s="6" t="s">
        <v>187</v>
      </c>
      <c r="D32" s="6" t="s">
        <v>47</v>
      </c>
      <c r="E32" s="10"/>
      <c r="F32" s="10" t="s">
        <v>134</v>
      </c>
    </row>
    <row r="33" customFormat="false" ht="15" hidden="false" customHeight="false" outlineLevel="0" collapsed="false">
      <c r="A33" s="6" t="s">
        <v>55</v>
      </c>
      <c r="B33" s="6" t="s">
        <v>188</v>
      </c>
      <c r="C33" s="6" t="s">
        <v>189</v>
      </c>
      <c r="D33" s="6" t="s">
        <v>47</v>
      </c>
      <c r="E33" s="10"/>
      <c r="F33" s="10" t="s">
        <v>134</v>
      </c>
    </row>
    <row r="34" customFormat="false" ht="15" hidden="false" customHeight="false" outlineLevel="0" collapsed="false">
      <c r="A34" s="6" t="s">
        <v>55</v>
      </c>
      <c r="B34" s="6" t="s">
        <v>190</v>
      </c>
      <c r="C34" s="6" t="s">
        <v>191</v>
      </c>
      <c r="D34" s="6" t="s">
        <v>47</v>
      </c>
      <c r="E34" s="10"/>
      <c r="F34" s="10" t="s">
        <v>134</v>
      </c>
    </row>
    <row r="35" customFormat="false" ht="15" hidden="false" customHeight="false" outlineLevel="0" collapsed="false">
      <c r="A35" s="6" t="s">
        <v>55</v>
      </c>
      <c r="B35" s="6" t="s">
        <v>192</v>
      </c>
      <c r="C35" s="6" t="s">
        <v>193</v>
      </c>
      <c r="D35" s="6" t="s">
        <v>47</v>
      </c>
      <c r="E35" s="10"/>
      <c r="F35" s="10" t="s">
        <v>134</v>
      </c>
    </row>
    <row r="36" customFormat="false" ht="15" hidden="false" customHeight="false" outlineLevel="0" collapsed="false">
      <c r="A36" s="6" t="s">
        <v>55</v>
      </c>
      <c r="B36" s="6" t="s">
        <v>194</v>
      </c>
      <c r="C36" s="6" t="s">
        <v>195</v>
      </c>
      <c r="D36" s="6" t="s">
        <v>54</v>
      </c>
      <c r="E36" s="10"/>
      <c r="F36" s="10" t="s">
        <v>134</v>
      </c>
    </row>
    <row r="37" customFormat="false" ht="15" hidden="false" customHeight="false" outlineLevel="0" collapsed="false">
      <c r="A37" s="6" t="s">
        <v>55</v>
      </c>
      <c r="B37" s="6" t="s">
        <v>57</v>
      </c>
      <c r="C37" s="6" t="s">
        <v>196</v>
      </c>
      <c r="D37" s="6" t="s">
        <v>54</v>
      </c>
      <c r="E37" s="10"/>
      <c r="F37" s="10" t="s">
        <v>134</v>
      </c>
    </row>
    <row r="38" customFormat="false" ht="15" hidden="false" customHeight="false" outlineLevel="0" collapsed="false">
      <c r="A38" s="6" t="s">
        <v>55</v>
      </c>
      <c r="B38" s="6" t="s">
        <v>197</v>
      </c>
      <c r="C38" s="6" t="s">
        <v>198</v>
      </c>
      <c r="D38" s="6" t="s">
        <v>47</v>
      </c>
      <c r="E38" s="10"/>
      <c r="F38" s="10" t="s">
        <v>134</v>
      </c>
    </row>
    <row r="39" customFormat="false" ht="15" hidden="false" customHeight="false" outlineLevel="0" collapsed="false">
      <c r="A39" s="6" t="s">
        <v>55</v>
      </c>
      <c r="B39" s="6" t="s">
        <v>199</v>
      </c>
      <c r="C39" s="6" t="s">
        <v>200</v>
      </c>
      <c r="D39" s="6" t="s">
        <v>47</v>
      </c>
      <c r="E39" s="10"/>
      <c r="F39" s="10" t="s">
        <v>134</v>
      </c>
    </row>
    <row r="41" customFormat="false" ht="15" hidden="false" customHeight="false" outlineLevel="0" collapsed="false">
      <c r="A41" s="3" t="s">
        <v>201</v>
      </c>
    </row>
    <row r="42" customFormat="false" ht="39.55" hidden="false" customHeight="false" outlineLevel="0" collapsed="false">
      <c r="A42" s="8" t="s">
        <v>32</v>
      </c>
      <c r="B42" s="8" t="s">
        <v>64</v>
      </c>
      <c r="C42" s="8" t="s">
        <v>202</v>
      </c>
      <c r="D42" s="8" t="s">
        <v>203</v>
      </c>
    </row>
    <row r="43" customFormat="false" ht="15" hidden="false" customHeight="false" outlineLevel="0" collapsed="false">
      <c r="A43" s="11" t="s">
        <v>70</v>
      </c>
      <c r="B43" s="11" t="n">
        <f aca="false">COUNTIF($A$5:$A$39,A43)</f>
        <v>7</v>
      </c>
      <c r="C43" s="11" t="n">
        <f aca="false">COUNTIFS($A$5:$A$39,A43,$F$5:$F$39,"Concluída")</f>
        <v>0</v>
      </c>
      <c r="D43" s="12" t="n">
        <f aca="false">IF(B43=0,0,C43/B43)</f>
        <v>0</v>
      </c>
    </row>
    <row r="44" customFormat="false" ht="15" hidden="false" customHeight="false" outlineLevel="0" collapsed="false">
      <c r="A44" s="11" t="s">
        <v>77</v>
      </c>
      <c r="B44" s="11" t="n">
        <f aca="false">COUNTIF($A$5:$A$39,A44)</f>
        <v>7</v>
      </c>
      <c r="C44" s="11" t="n">
        <f aca="false">COUNTIFS($A$5:$A$39,A44,$F$5:$F$39,"Concluída")</f>
        <v>0</v>
      </c>
      <c r="D44" s="12" t="n">
        <f aca="false">IF(B44=0,0,C44/B44)</f>
        <v>0</v>
      </c>
    </row>
    <row r="45" customFormat="false" ht="15" hidden="false" customHeight="false" outlineLevel="0" collapsed="false">
      <c r="A45" s="11" t="s">
        <v>84</v>
      </c>
      <c r="B45" s="11" t="n">
        <f aca="false">COUNTIF($A$5:$A$39,A45)</f>
        <v>6</v>
      </c>
      <c r="C45" s="11" t="n">
        <f aca="false">COUNTIFS($A$5:$A$39,A45,$F$5:$F$39,"Concluída")</f>
        <v>0</v>
      </c>
      <c r="D45" s="12" t="n">
        <f aca="false">IF(B45=0,0,C45/B45)</f>
        <v>0</v>
      </c>
    </row>
    <row r="46" customFormat="false" ht="15" hidden="false" customHeight="false" outlineLevel="0" collapsed="false">
      <c r="A46" s="11" t="s">
        <v>50</v>
      </c>
      <c r="B46" s="11" t="n">
        <f aca="false">COUNTIF($A$5:$A$39,A46)</f>
        <v>6</v>
      </c>
      <c r="C46" s="11" t="n">
        <f aca="false">COUNTIFS($A$5:$A$39,A46,$F$5:$F$39,"Concluída")</f>
        <v>0</v>
      </c>
      <c r="D46" s="12" t="n">
        <f aca="false">IF(B46=0,0,C46/B46)</f>
        <v>0</v>
      </c>
    </row>
    <row r="47" customFormat="false" ht="15" hidden="false" customHeight="false" outlineLevel="0" collapsed="false">
      <c r="A47" s="11" t="s">
        <v>55</v>
      </c>
      <c r="B47" s="11" t="n">
        <f aca="false">COUNTIF($A$5:$A$39,A47)</f>
        <v>9</v>
      </c>
      <c r="C47" s="11" t="n">
        <f aca="false">COUNTIFS($A$5:$A$39,A47,$F$5:$F$39,"Concluída")</f>
        <v>0</v>
      </c>
      <c r="D47" s="12" t="n">
        <f aca="false">IF(B47=0,0,C47/B47)</f>
        <v>0</v>
      </c>
    </row>
  </sheetData>
  <autoFilter ref="A4:F39"/>
  <conditionalFormatting sqref="F5:F39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5">
      <formula>"Em andamento"</formula>
    </cfRule>
    <cfRule type="cellIs" priority="4" operator="equal" aboveAverage="0" equalAverage="0" bottom="0" percent="0" rank="0" text="" dxfId="6">
      <formula>"Pausada"</formula>
    </cfRule>
  </conditionalFormatting>
  <dataValidations count="2">
    <dataValidation allowBlank="true" errorStyle="stop" operator="between" showDropDown="false" showErrorMessage="false" showInputMessage="false" sqref="E5:E39" type="list">
      <formula1>"Alta,Média,Baixa"</formula1>
      <formula2>0</formula2>
    </dataValidation>
    <dataValidation allowBlank="true" errorStyle="stop" operator="between" showDropDown="false" showErrorMessage="false" showInputMessage="false" sqref="F5:F39" type="list">
      <formula1>"Não iniciada,Em andamento,Concluída,Pausada"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6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7" t="s">
        <v>205</v>
      </c>
    </row>
    <row r="4" customFormat="false" ht="15" hidden="false" customHeight="false" outlineLevel="0" collapsed="false">
      <c r="A4" s="8" t="s">
        <v>206</v>
      </c>
      <c r="B4" s="8" t="s">
        <v>207</v>
      </c>
      <c r="C4" s="8" t="s">
        <v>208</v>
      </c>
      <c r="D4" s="8" t="s">
        <v>209</v>
      </c>
      <c r="E4" s="8" t="s">
        <v>210</v>
      </c>
    </row>
    <row r="5" customFormat="false" ht="23.85" hidden="false" customHeight="false" outlineLevel="0" collapsed="false">
      <c r="A5" s="6" t="s">
        <v>77</v>
      </c>
      <c r="B5" s="6" t="s">
        <v>55</v>
      </c>
      <c r="C5" s="6" t="s">
        <v>211</v>
      </c>
      <c r="D5" s="6" t="s">
        <v>212</v>
      </c>
      <c r="E5" s="13" t="str">
        <f aca="false">IF(AND(INDEX(Módulos!$E$5:$E$9,MATCH("Secretária",Módulos!$A$5:$A$9,0))="SIM",INDEX(Módulos!$E$5:$E$9,MATCH("Financeiro",Módulos!$A$5:$A$9,0))="SIM"),"SIM","NÃO")</f>
        <v>NÃO</v>
      </c>
    </row>
    <row r="6" customFormat="false" ht="15" hidden="false" customHeight="false" outlineLevel="0" collapsed="false">
      <c r="A6" s="6" t="s">
        <v>55</v>
      </c>
      <c r="B6" s="6" t="s">
        <v>77</v>
      </c>
      <c r="C6" s="6" t="s">
        <v>213</v>
      </c>
      <c r="D6" s="6" t="s">
        <v>214</v>
      </c>
      <c r="E6" s="13" t="str">
        <f aca="false">IF(AND(INDEX(Módulos!$E$5:$E$9,MATCH("Financeiro",Módulos!$A$5:$A$9,0))="SIM",INDEX(Módulos!$E$5:$E$9,MATCH("Secretária",Módulos!$A$5:$A$9,0))="SIM"),"SIM","NÃO")</f>
        <v>NÃO</v>
      </c>
    </row>
    <row r="7" customFormat="false" ht="23.85" hidden="false" customHeight="false" outlineLevel="0" collapsed="false">
      <c r="A7" s="6" t="s">
        <v>84</v>
      </c>
      <c r="B7" s="6" t="s">
        <v>55</v>
      </c>
      <c r="C7" s="6" t="s">
        <v>215</v>
      </c>
      <c r="D7" s="6" t="s">
        <v>216</v>
      </c>
      <c r="E7" s="13" t="str">
        <f aca="false">IF(AND(INDEX(Módulos!$E$5:$E$9,MATCH("Produção",Módulos!$A$5:$A$9,0))="SIM",INDEX(Módulos!$E$5:$E$9,MATCH("Financeiro",Módulos!$A$5:$A$9,0))="SIM"),"SIM","NÃO")</f>
        <v>NÃO</v>
      </c>
    </row>
    <row r="8" customFormat="false" ht="15" hidden="false" customHeight="false" outlineLevel="0" collapsed="false">
      <c r="A8" s="6" t="s">
        <v>55</v>
      </c>
      <c r="B8" s="6" t="s">
        <v>84</v>
      </c>
      <c r="C8" s="6" t="s">
        <v>217</v>
      </c>
      <c r="D8" s="6" t="s">
        <v>218</v>
      </c>
      <c r="E8" s="13" t="str">
        <f aca="false">IF(AND(INDEX(Módulos!$E$5:$E$9,MATCH("Financeiro",Módulos!$A$5:$A$9,0))="SIM",INDEX(Módulos!$E$5:$E$9,MATCH("Produção",Módulos!$A$5:$A$9,0))="SIM"),"SIM","NÃO")</f>
        <v>NÃO</v>
      </c>
    </row>
    <row r="9" customFormat="false" ht="15" hidden="false" customHeight="false" outlineLevel="0" collapsed="false">
      <c r="A9" s="6" t="s">
        <v>84</v>
      </c>
      <c r="B9" s="6" t="s">
        <v>77</v>
      </c>
      <c r="C9" s="6" t="s">
        <v>219</v>
      </c>
      <c r="D9" s="6" t="s">
        <v>220</v>
      </c>
      <c r="E9" s="13" t="str">
        <f aca="false">IF(AND(INDEX(Módulos!$E$5:$E$9,MATCH("Produção",Módulos!$A$5:$A$9,0))="SIM",INDEX(Módulos!$E$5:$E$9,MATCH("Secretária",Módulos!$A$5:$A$9,0))="SIM"),"SIM","NÃO")</f>
        <v>NÃO</v>
      </c>
    </row>
    <row r="10" customFormat="false" ht="15" hidden="false" customHeight="false" outlineLevel="0" collapsed="false">
      <c r="A10" s="6" t="s">
        <v>50</v>
      </c>
      <c r="B10" s="6" t="s">
        <v>55</v>
      </c>
      <c r="C10" s="6" t="s">
        <v>221</v>
      </c>
      <c r="D10" s="6" t="s">
        <v>222</v>
      </c>
      <c r="E10" s="13" t="str">
        <f aca="false">IF(AND(INDEX(Módulos!$E$5:$E$9,MATCH("Documentos",Módulos!$A$5:$A$9,0))="SIM",INDEX(Módulos!$E$5:$E$9,MATCH("Financeiro",Módulos!$A$5:$A$9,0))="SIM"),"SIM","NÃO")</f>
        <v>NÃO</v>
      </c>
    </row>
    <row r="11" customFormat="false" ht="15" hidden="false" customHeight="false" outlineLevel="0" collapsed="false">
      <c r="A11" s="6" t="s">
        <v>50</v>
      </c>
      <c r="B11" s="6" t="s">
        <v>77</v>
      </c>
      <c r="C11" s="6" t="s">
        <v>223</v>
      </c>
      <c r="D11" s="6" t="s">
        <v>224</v>
      </c>
      <c r="E11" s="13" t="str">
        <f aca="false">IF(AND(INDEX(Módulos!$E$5:$E$9,MATCH("Documentos",Módulos!$A$5:$A$9,0))="SIM",INDEX(Módulos!$E$5:$E$9,MATCH("Secretária",Módulos!$A$5:$A$9,0))="SIM"),"SIM","NÃO")</f>
        <v>NÃO</v>
      </c>
    </row>
    <row r="12" customFormat="false" ht="15" hidden="false" customHeight="false" outlineLevel="0" collapsed="false">
      <c r="A12" s="6" t="s">
        <v>50</v>
      </c>
      <c r="B12" s="6" t="s">
        <v>84</v>
      </c>
      <c r="C12" s="6" t="s">
        <v>225</v>
      </c>
      <c r="D12" s="6" t="s">
        <v>226</v>
      </c>
      <c r="E12" s="13" t="str">
        <f aca="false">IF(AND(INDEX(Módulos!$E$5:$E$9,MATCH("Documentos",Módulos!$A$5:$A$9,0))="SIM",INDEX(Módulos!$E$5:$E$9,MATCH("Produção",Módulos!$A$5:$A$9,0))="SIM"),"SIM","NÃO")</f>
        <v>NÃO</v>
      </c>
    </row>
    <row r="13" customFormat="false" ht="15" hidden="false" customHeight="false" outlineLevel="0" collapsed="false">
      <c r="A13" s="6" t="s">
        <v>55</v>
      </c>
      <c r="B13" s="6" t="s">
        <v>50</v>
      </c>
      <c r="C13" s="6" t="s">
        <v>227</v>
      </c>
      <c r="D13" s="6" t="s">
        <v>228</v>
      </c>
      <c r="E13" s="13" t="str">
        <f aca="false">IF(AND(INDEX(Módulos!$E$5:$E$9,MATCH("Financeiro",Módulos!$A$5:$A$9,0))="SIM",INDEX(Módulos!$E$5:$E$9,MATCH("Documentos",Módulos!$A$5:$A$9,0))="SIM"),"SIM","NÃO")</f>
        <v>NÃO</v>
      </c>
    </row>
    <row r="14" customFormat="false" ht="15" hidden="false" customHeight="false" outlineLevel="0" collapsed="false">
      <c r="A14" s="6" t="s">
        <v>229</v>
      </c>
      <c r="B14" s="6" t="s">
        <v>70</v>
      </c>
      <c r="C14" s="6" t="s">
        <v>230</v>
      </c>
      <c r="D14" s="6" t="s">
        <v>231</v>
      </c>
      <c r="E14" s="13" t="str">
        <f aca="false">IF(AND(TRUE(),TRUE()),"SIM","NÃO")</f>
        <v>SIM</v>
      </c>
    </row>
    <row r="15" customFormat="false" ht="15" hidden="false" customHeight="false" outlineLevel="0" collapsed="false">
      <c r="A15" s="6" t="s">
        <v>70</v>
      </c>
      <c r="B15" s="6" t="s">
        <v>229</v>
      </c>
      <c r="C15" s="6" t="s">
        <v>232</v>
      </c>
      <c r="D15" s="6" t="s">
        <v>233</v>
      </c>
      <c r="E15" s="13" t="str">
        <f aca="false">IF(AND(TRUE(),TRUE()),"SIM","NÃO")</f>
        <v>SIM</v>
      </c>
    </row>
    <row r="17" customFormat="false" ht="15" hidden="false" customHeight="false" outlineLevel="0" collapsed="false">
      <c r="A17" s="3" t="s">
        <v>106</v>
      </c>
      <c r="B17" s="3" t="n">
        <f aca="false">COUNTIF(E5:E15,"SIM")</f>
        <v>2</v>
      </c>
    </row>
    <row r="19" customFormat="false" ht="15" hidden="false" customHeight="false" outlineLevel="0" collapsed="false">
      <c r="A19" s="3" t="s">
        <v>234</v>
      </c>
    </row>
    <row r="20" customFormat="false" ht="15" hidden="false" customHeight="false" outlineLevel="0" collapsed="false">
      <c r="A20" s="14" t="s">
        <v>235</v>
      </c>
      <c r="B20" s="15" t="s">
        <v>70</v>
      </c>
      <c r="C20" s="15" t="s">
        <v>77</v>
      </c>
      <c r="D20" s="15" t="s">
        <v>84</v>
      </c>
      <c r="E20" s="15" t="s">
        <v>50</v>
      </c>
      <c r="F20" s="15" t="s">
        <v>55</v>
      </c>
    </row>
    <row r="21" customFormat="false" ht="15" hidden="false" customHeight="false" outlineLevel="0" collapsed="false">
      <c r="A21" s="16" t="s">
        <v>70</v>
      </c>
      <c r="B21" s="17" t="s">
        <v>75</v>
      </c>
      <c r="C21" s="13" t="str">
        <f aca="false">IF(INDEX(Módulos!$E$5:$E$9,MATCH("Secretária",Módulos!$A$5:$A$9,0))="SIM","SIM","off")</f>
        <v>SIM</v>
      </c>
      <c r="D21" s="13" t="str">
        <f aca="false">IF(INDEX(Módulos!$E$5:$E$9,MATCH("Produção",Módulos!$A$5:$A$9,0))="SIM","SIM","off")</f>
        <v>off</v>
      </c>
      <c r="E21" s="13" t="str">
        <f aca="false">IF(INDEX(Módulos!$E$5:$E$9,MATCH("Documentos",Módulos!$A$5:$A$9,0))="SIM","SIM","off")</f>
        <v>off</v>
      </c>
      <c r="F21" s="13" t="str">
        <f aca="false">IF(INDEX(Módulos!$E$5:$E$9,MATCH("Financeiro",Módulos!$A$5:$A$9,0))="SIM","SIM","off")</f>
        <v>off</v>
      </c>
    </row>
    <row r="22" customFormat="false" ht="15" hidden="false" customHeight="false" outlineLevel="0" collapsed="false">
      <c r="A22" s="16" t="s">
        <v>77</v>
      </c>
      <c r="B22" s="13" t="str">
        <f aca="false">IF(INDEX(Módulos!$E$5:$E$9,MATCH("Secretária",Módulos!$A$5:$A$9,0))="SIM","SIM","off")</f>
        <v>SIM</v>
      </c>
      <c r="C22" s="17" t="s">
        <v>75</v>
      </c>
      <c r="D22" s="13" t="s">
        <v>75</v>
      </c>
      <c r="E22" s="13" t="s">
        <v>75</v>
      </c>
      <c r="F22" s="13" t="str">
        <f aca="false">IF(AND(INDEX(Módulos!$E$5:$E$9,MATCH("Secretária",Módulos!$A$5:$A$9,0))="SIM",INDEX(Módulos!$E$5:$E$9,MATCH("Financeiro",Módulos!$A$5:$A$9,0))="SIM"),"SIM","off")</f>
        <v>off</v>
      </c>
    </row>
    <row r="23" customFormat="false" ht="15" hidden="false" customHeight="false" outlineLevel="0" collapsed="false">
      <c r="A23" s="16" t="s">
        <v>84</v>
      </c>
      <c r="B23" s="13" t="str">
        <f aca="false">IF(INDEX(Módulos!$E$5:$E$9,MATCH("Produção",Módulos!$A$5:$A$9,0))="SIM","SIM","off")</f>
        <v>off</v>
      </c>
      <c r="C23" s="13" t="str">
        <f aca="false">IF(AND(INDEX(Módulos!$E$5:$E$9,MATCH("Produção",Módulos!$A$5:$A$9,0))="SIM",INDEX(Módulos!$E$5:$E$9,MATCH("Secretária",Módulos!$A$5:$A$9,0))="SIM"),"SIM","off")</f>
        <v>off</v>
      </c>
      <c r="D23" s="17" t="s">
        <v>75</v>
      </c>
      <c r="E23" s="13" t="s">
        <v>75</v>
      </c>
      <c r="F23" s="13" t="str">
        <f aca="false">IF(AND(INDEX(Módulos!$E$5:$E$9,MATCH("Produção",Módulos!$A$5:$A$9,0))="SIM",INDEX(Módulos!$E$5:$E$9,MATCH("Financeiro",Módulos!$A$5:$A$9,0))="SIM"),"SIM","off")</f>
        <v>off</v>
      </c>
    </row>
    <row r="24" customFormat="false" ht="15" hidden="false" customHeight="false" outlineLevel="0" collapsed="false">
      <c r="A24" s="16" t="s">
        <v>50</v>
      </c>
      <c r="B24" s="13" t="str">
        <f aca="false">IF(INDEX(Módulos!$E$5:$E$9,MATCH("Documentos",Módulos!$A$5:$A$9,0))="SIM","SIM","off")</f>
        <v>off</v>
      </c>
      <c r="C24" s="13" t="str">
        <f aca="false">IF(AND(INDEX(Módulos!$E$5:$E$9,MATCH("Documentos",Módulos!$A$5:$A$9,0))="SIM",INDEX(Módulos!$E$5:$E$9,MATCH("Secretária",Módulos!$A$5:$A$9,0))="SIM"),"SIM","off")</f>
        <v>off</v>
      </c>
      <c r="D24" s="13" t="str">
        <f aca="false">IF(AND(INDEX(Módulos!$E$5:$E$9,MATCH("Documentos",Módulos!$A$5:$A$9,0))="SIM",INDEX(Módulos!$E$5:$E$9,MATCH("Produção",Módulos!$A$5:$A$9,0))="SIM"),"SIM","off")</f>
        <v>off</v>
      </c>
      <c r="E24" s="17" t="s">
        <v>75</v>
      </c>
      <c r="F24" s="13" t="str">
        <f aca="false">IF(AND(INDEX(Módulos!$E$5:$E$9,MATCH("Documentos",Módulos!$A$5:$A$9,0))="SIM",INDEX(Módulos!$E$5:$E$9,MATCH("Financeiro",Módulos!$A$5:$A$9,0))="SIM"),"SIM","off")</f>
        <v>off</v>
      </c>
    </row>
    <row r="25" customFormat="false" ht="15" hidden="false" customHeight="false" outlineLevel="0" collapsed="false">
      <c r="A25" s="16" t="s">
        <v>55</v>
      </c>
      <c r="B25" s="13" t="str">
        <f aca="false">IF(INDEX(Módulos!$E$5:$E$9,MATCH("Financeiro",Módulos!$A$5:$A$9,0))="SIM","SIM","off")</f>
        <v>off</v>
      </c>
      <c r="C25" s="13" t="str">
        <f aca="false">IF(AND(INDEX(Módulos!$E$5:$E$9,MATCH("Financeiro",Módulos!$A$5:$A$9,0))="SIM",INDEX(Módulos!$E$5:$E$9,MATCH("Secretária",Módulos!$A$5:$A$9,0))="SIM"),"SIM","off")</f>
        <v>off</v>
      </c>
      <c r="D25" s="13" t="str">
        <f aca="false">IF(AND(INDEX(Módulos!$E$5:$E$9,MATCH("Financeiro",Módulos!$A$5:$A$9,0))="SIM",INDEX(Módulos!$E$5:$E$9,MATCH("Produção",Módulos!$A$5:$A$9,0))="SIM"),"SIM","off")</f>
        <v>off</v>
      </c>
      <c r="E25" s="13" t="str">
        <f aca="false">IF(AND(INDEX(Módulos!$E$5:$E$9,MATCH("Financeiro",Módulos!$A$5:$A$9,0))="SIM",INDEX(Módulos!$E$5:$E$9,MATCH("Documentos",Módulos!$A$5:$A$9,0))="SIM"),"SIM","off")</f>
        <v>off</v>
      </c>
      <c r="F25" s="17" t="s">
        <v>75</v>
      </c>
    </row>
  </sheetData>
  <conditionalFormatting sqref="E5:E15">
    <cfRule type="cellIs" priority="2" operator="equal" aboveAverage="0" equalAverage="0" bottom="0" percent="0" rank="0" text="" dxfId="0">
      <formula>"SIM"</formula>
    </cfRule>
  </conditionalFormatting>
  <conditionalFormatting sqref="B21:F25">
    <cfRule type="cellIs" priority="3" operator="equal" aboveAverage="0" equalAverage="0" bottom="0" percent="0" rank="0" text="" dxfId="0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236</v>
      </c>
    </row>
    <row r="3" customFormat="false" ht="26.85" hidden="false" customHeight="false" outlineLevel="0" collapsed="false">
      <c r="A3" s="8" t="s">
        <v>65</v>
      </c>
      <c r="B3" s="8" t="s">
        <v>237</v>
      </c>
      <c r="C3" s="8" t="s">
        <v>238</v>
      </c>
      <c r="D3" s="8" t="s">
        <v>239</v>
      </c>
      <c r="E3" s="8" t="s">
        <v>240</v>
      </c>
      <c r="F3" s="8" t="s">
        <v>131</v>
      </c>
      <c r="G3" s="8" t="s">
        <v>241</v>
      </c>
      <c r="H3" s="8" t="s">
        <v>242</v>
      </c>
    </row>
    <row r="4" customFormat="false" ht="23.85" hidden="false" customHeight="false" outlineLevel="0" collapsed="false">
      <c r="A4" s="6" t="s">
        <v>243</v>
      </c>
      <c r="B4" s="6" t="s">
        <v>244</v>
      </c>
      <c r="C4" s="18" t="n">
        <v>46308</v>
      </c>
      <c r="D4" s="10" t="n">
        <v>2</v>
      </c>
      <c r="E4" s="19" t="n">
        <f aca="false">C4+D4*7</f>
        <v>46322</v>
      </c>
      <c r="F4" s="10" t="s">
        <v>134</v>
      </c>
      <c r="G4" s="6" t="s">
        <v>245</v>
      </c>
      <c r="H4" s="6" t="s">
        <v>246</v>
      </c>
    </row>
    <row r="5" customFormat="false" ht="23.85" hidden="false" customHeight="false" outlineLevel="0" collapsed="false">
      <c r="A5" s="6" t="s">
        <v>247</v>
      </c>
      <c r="B5" s="6" t="s">
        <v>248</v>
      </c>
      <c r="C5" s="18" t="n">
        <v>46322</v>
      </c>
      <c r="D5" s="10" t="n">
        <v>3</v>
      </c>
      <c r="E5" s="19" t="n">
        <f aca="false">C5+D5*7</f>
        <v>46343</v>
      </c>
      <c r="F5" s="10" t="s">
        <v>134</v>
      </c>
      <c r="G5" s="6" t="s">
        <v>249</v>
      </c>
      <c r="H5" s="6" t="s">
        <v>250</v>
      </c>
    </row>
    <row r="6" customFormat="false" ht="23.85" hidden="false" customHeight="false" outlineLevel="0" collapsed="false">
      <c r="A6" s="6" t="s">
        <v>251</v>
      </c>
      <c r="B6" s="6" t="s">
        <v>252</v>
      </c>
      <c r="C6" s="18" t="n">
        <v>46343</v>
      </c>
      <c r="D6" s="10" t="n">
        <v>4</v>
      </c>
      <c r="E6" s="19" t="n">
        <f aca="false">C6+D6*7</f>
        <v>46371</v>
      </c>
      <c r="F6" s="10" t="s">
        <v>134</v>
      </c>
      <c r="G6" s="6" t="s">
        <v>253</v>
      </c>
      <c r="H6" s="6" t="s">
        <v>254</v>
      </c>
    </row>
    <row r="7" customFormat="false" ht="15" hidden="false" customHeight="false" outlineLevel="0" collapsed="false">
      <c r="A7" s="6" t="s">
        <v>255</v>
      </c>
      <c r="B7" s="6" t="s">
        <v>256</v>
      </c>
      <c r="C7" s="18" t="n">
        <v>46343</v>
      </c>
      <c r="D7" s="10" t="n">
        <v>6</v>
      </c>
      <c r="E7" s="19" t="n">
        <f aca="false">C7+D7*7</f>
        <v>46385</v>
      </c>
      <c r="F7" s="10" t="s">
        <v>134</v>
      </c>
      <c r="G7" s="6" t="s">
        <v>257</v>
      </c>
      <c r="H7" s="6" t="s">
        <v>258</v>
      </c>
    </row>
    <row r="8" customFormat="false" ht="15" hidden="false" customHeight="false" outlineLevel="0" collapsed="false">
      <c r="A8" s="6" t="s">
        <v>259</v>
      </c>
      <c r="B8" s="6" t="s">
        <v>260</v>
      </c>
      <c r="C8" s="18" t="n">
        <v>46371</v>
      </c>
      <c r="D8" s="10" t="n">
        <v>6</v>
      </c>
      <c r="E8" s="19" t="n">
        <f aca="false">C8+D8*7</f>
        <v>46413</v>
      </c>
      <c r="F8" s="10" t="s">
        <v>134</v>
      </c>
      <c r="G8" s="6" t="s">
        <v>261</v>
      </c>
      <c r="H8" s="6" t="s">
        <v>262</v>
      </c>
    </row>
  </sheetData>
  <conditionalFormatting sqref="F4:F8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5">
      <formula>"Em andamento"</formula>
    </cfRule>
    <cfRule type="cellIs" priority="4" operator="equal" aboveAverage="0" equalAverage="0" bottom="0" percent="0" rank="0" text="" dxfId="6">
      <formula>"Pausada"</formula>
    </cfRule>
  </conditionalFormatting>
  <dataValidations count="1">
    <dataValidation allowBlank="true" errorStyle="stop" operator="between" showDropDown="false" showErrorMessage="false" showInputMessage="false" sqref="F4:F8" type="list">
      <formula1>"Não iniciada,Em andamento,Concluída,Pausada"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263</v>
      </c>
    </row>
    <row r="3" customFormat="false" ht="15" hidden="false" customHeight="false" outlineLevel="0" collapsed="false">
      <c r="A3" s="8" t="s">
        <v>65</v>
      </c>
      <c r="B3" s="8" t="s">
        <v>264</v>
      </c>
      <c r="C3" s="8" t="s">
        <v>265</v>
      </c>
      <c r="D3" s="8" t="s">
        <v>131</v>
      </c>
      <c r="E3" s="8" t="s">
        <v>266</v>
      </c>
      <c r="F3" s="8" t="s">
        <v>267</v>
      </c>
    </row>
    <row r="4" customFormat="false" ht="15" hidden="false" customHeight="false" outlineLevel="0" collapsed="false">
      <c r="A4" s="6" t="s">
        <v>268</v>
      </c>
      <c r="B4" s="6" t="s">
        <v>269</v>
      </c>
      <c r="C4" s="6" t="s">
        <v>270</v>
      </c>
      <c r="D4" s="10" t="s">
        <v>134</v>
      </c>
      <c r="E4" s="18"/>
      <c r="F4" s="10"/>
    </row>
    <row r="5" customFormat="false" ht="15" hidden="false" customHeight="false" outlineLevel="0" collapsed="false">
      <c r="A5" s="6" t="s">
        <v>268</v>
      </c>
      <c r="B5" s="6" t="s">
        <v>271</v>
      </c>
      <c r="C5" s="6" t="s">
        <v>270</v>
      </c>
      <c r="D5" s="10" t="s">
        <v>134</v>
      </c>
      <c r="E5" s="18"/>
      <c r="F5" s="10"/>
    </row>
    <row r="6" customFormat="false" ht="15" hidden="false" customHeight="false" outlineLevel="0" collapsed="false">
      <c r="A6" s="6" t="s">
        <v>268</v>
      </c>
      <c r="B6" s="6" t="s">
        <v>272</v>
      </c>
      <c r="C6" s="6" t="s">
        <v>270</v>
      </c>
      <c r="D6" s="10" t="s">
        <v>134</v>
      </c>
      <c r="E6" s="18"/>
      <c r="F6" s="10"/>
    </row>
    <row r="7" customFormat="false" ht="15" hidden="false" customHeight="false" outlineLevel="0" collapsed="false">
      <c r="A7" s="6" t="s">
        <v>268</v>
      </c>
      <c r="B7" s="6" t="s">
        <v>273</v>
      </c>
      <c r="C7" s="6" t="s">
        <v>270</v>
      </c>
      <c r="D7" s="10" t="s">
        <v>134</v>
      </c>
      <c r="E7" s="18"/>
      <c r="F7" s="10"/>
    </row>
    <row r="8" customFormat="false" ht="15" hidden="false" customHeight="false" outlineLevel="0" collapsed="false">
      <c r="A8" s="6" t="s">
        <v>268</v>
      </c>
      <c r="B8" s="6" t="s">
        <v>274</v>
      </c>
      <c r="C8" s="6" t="s">
        <v>270</v>
      </c>
      <c r="D8" s="10" t="s">
        <v>134</v>
      </c>
      <c r="E8" s="18"/>
      <c r="F8" s="10"/>
    </row>
    <row r="9" customFormat="false" ht="23.85" hidden="false" customHeight="false" outlineLevel="0" collapsed="false">
      <c r="A9" s="6" t="s">
        <v>275</v>
      </c>
      <c r="B9" s="6" t="s">
        <v>276</v>
      </c>
      <c r="C9" s="6" t="s">
        <v>277</v>
      </c>
      <c r="D9" s="10" t="s">
        <v>134</v>
      </c>
      <c r="E9" s="18"/>
      <c r="F9" s="10"/>
    </row>
    <row r="10" customFormat="false" ht="15" hidden="false" customHeight="false" outlineLevel="0" collapsed="false">
      <c r="A10" s="6" t="s">
        <v>275</v>
      </c>
      <c r="B10" s="6" t="s">
        <v>278</v>
      </c>
      <c r="C10" s="6" t="s">
        <v>277</v>
      </c>
      <c r="D10" s="10" t="s">
        <v>134</v>
      </c>
      <c r="E10" s="18"/>
      <c r="F10" s="10"/>
    </row>
    <row r="11" customFormat="false" ht="15" hidden="false" customHeight="false" outlineLevel="0" collapsed="false">
      <c r="A11" s="6" t="s">
        <v>275</v>
      </c>
      <c r="B11" s="6" t="s">
        <v>279</v>
      </c>
      <c r="C11" s="6" t="s">
        <v>277</v>
      </c>
      <c r="D11" s="10" t="s">
        <v>134</v>
      </c>
      <c r="E11" s="18"/>
      <c r="F11" s="10"/>
    </row>
    <row r="12" customFormat="false" ht="15" hidden="false" customHeight="false" outlineLevel="0" collapsed="false">
      <c r="A12" s="6" t="s">
        <v>275</v>
      </c>
      <c r="B12" s="6" t="s">
        <v>280</v>
      </c>
      <c r="C12" s="6" t="s">
        <v>277</v>
      </c>
      <c r="D12" s="10" t="s">
        <v>134</v>
      </c>
      <c r="E12" s="18"/>
      <c r="F12" s="10"/>
    </row>
    <row r="13" customFormat="false" ht="15" hidden="false" customHeight="false" outlineLevel="0" collapsed="false">
      <c r="A13" s="6" t="s">
        <v>275</v>
      </c>
      <c r="B13" s="6" t="s">
        <v>281</v>
      </c>
      <c r="C13" s="6" t="s">
        <v>277</v>
      </c>
      <c r="D13" s="10" t="s">
        <v>134</v>
      </c>
      <c r="E13" s="18"/>
      <c r="F13" s="10"/>
    </row>
    <row r="14" customFormat="false" ht="15" hidden="false" customHeight="false" outlineLevel="0" collapsed="false">
      <c r="A14" s="6" t="s">
        <v>275</v>
      </c>
      <c r="B14" s="6" t="s">
        <v>282</v>
      </c>
      <c r="C14" s="6" t="s">
        <v>277</v>
      </c>
      <c r="D14" s="10" t="s">
        <v>134</v>
      </c>
      <c r="E14" s="18"/>
      <c r="F14" s="10"/>
    </row>
    <row r="15" customFormat="false" ht="15" hidden="false" customHeight="false" outlineLevel="0" collapsed="false">
      <c r="A15" s="6" t="s">
        <v>275</v>
      </c>
      <c r="B15" s="6" t="s">
        <v>283</v>
      </c>
      <c r="C15" s="6" t="s">
        <v>277</v>
      </c>
      <c r="D15" s="10" t="s">
        <v>134</v>
      </c>
      <c r="E15" s="18"/>
      <c r="F15" s="10"/>
    </row>
    <row r="16" customFormat="false" ht="15" hidden="false" customHeight="false" outlineLevel="0" collapsed="false">
      <c r="A16" s="6" t="s">
        <v>275</v>
      </c>
      <c r="B16" s="6" t="s">
        <v>284</v>
      </c>
      <c r="C16" s="6" t="s">
        <v>277</v>
      </c>
      <c r="D16" s="10" t="s">
        <v>134</v>
      </c>
      <c r="E16" s="18"/>
      <c r="F16" s="10"/>
    </row>
    <row r="17" customFormat="false" ht="15" hidden="false" customHeight="false" outlineLevel="0" collapsed="false">
      <c r="A17" s="6" t="s">
        <v>275</v>
      </c>
      <c r="B17" s="6" t="s">
        <v>285</v>
      </c>
      <c r="C17" s="6" t="s">
        <v>277</v>
      </c>
      <c r="D17" s="10" t="s">
        <v>134</v>
      </c>
      <c r="E17" s="18"/>
      <c r="F17" s="10"/>
    </row>
    <row r="18" customFormat="false" ht="15" hidden="false" customHeight="false" outlineLevel="0" collapsed="false">
      <c r="A18" s="6" t="s">
        <v>286</v>
      </c>
      <c r="B18" s="6" t="s">
        <v>287</v>
      </c>
      <c r="C18" s="6" t="s">
        <v>277</v>
      </c>
      <c r="D18" s="10" t="s">
        <v>134</v>
      </c>
      <c r="E18" s="18"/>
      <c r="F18" s="10"/>
    </row>
    <row r="19" customFormat="false" ht="15" hidden="false" customHeight="false" outlineLevel="0" collapsed="false">
      <c r="A19" s="6" t="s">
        <v>286</v>
      </c>
      <c r="B19" s="6" t="s">
        <v>288</v>
      </c>
      <c r="C19" s="6" t="s">
        <v>277</v>
      </c>
      <c r="D19" s="10" t="s">
        <v>134</v>
      </c>
      <c r="E19" s="18"/>
      <c r="F19" s="10"/>
    </row>
    <row r="20" customFormat="false" ht="15" hidden="false" customHeight="false" outlineLevel="0" collapsed="false">
      <c r="A20" s="6" t="s">
        <v>286</v>
      </c>
      <c r="B20" s="6" t="s">
        <v>289</v>
      </c>
      <c r="C20" s="6" t="s">
        <v>277</v>
      </c>
      <c r="D20" s="10" t="s">
        <v>134</v>
      </c>
      <c r="E20" s="18"/>
      <c r="F20" s="10"/>
    </row>
    <row r="21" customFormat="false" ht="15" hidden="false" customHeight="false" outlineLevel="0" collapsed="false">
      <c r="A21" s="6" t="s">
        <v>286</v>
      </c>
      <c r="B21" s="6" t="s">
        <v>290</v>
      </c>
      <c r="C21" s="6" t="s">
        <v>277</v>
      </c>
      <c r="D21" s="10" t="s">
        <v>134</v>
      </c>
      <c r="E21" s="18"/>
      <c r="F21" s="10"/>
    </row>
    <row r="22" customFormat="false" ht="23.85" hidden="false" customHeight="false" outlineLevel="0" collapsed="false">
      <c r="A22" s="6" t="s">
        <v>286</v>
      </c>
      <c r="B22" s="6" t="s">
        <v>291</v>
      </c>
      <c r="C22" s="6" t="s">
        <v>270</v>
      </c>
      <c r="D22" s="10" t="s">
        <v>134</v>
      </c>
      <c r="E22" s="18"/>
      <c r="F22" s="10"/>
    </row>
    <row r="23" customFormat="false" ht="15" hidden="false" customHeight="false" outlineLevel="0" collapsed="false">
      <c r="A23" s="6" t="s">
        <v>286</v>
      </c>
      <c r="B23" s="6" t="s">
        <v>292</v>
      </c>
      <c r="C23" s="6" t="s">
        <v>277</v>
      </c>
      <c r="D23" s="10" t="s">
        <v>134</v>
      </c>
      <c r="E23" s="18"/>
      <c r="F23" s="10"/>
    </row>
    <row r="24" customFormat="false" ht="15" hidden="false" customHeight="false" outlineLevel="0" collapsed="false">
      <c r="A24" s="6" t="s">
        <v>286</v>
      </c>
      <c r="B24" s="6" t="s">
        <v>293</v>
      </c>
      <c r="C24" s="6" t="s">
        <v>277</v>
      </c>
      <c r="D24" s="10" t="s">
        <v>134</v>
      </c>
      <c r="E24" s="18"/>
      <c r="F24" s="10"/>
    </row>
    <row r="25" customFormat="false" ht="15" hidden="false" customHeight="false" outlineLevel="0" collapsed="false">
      <c r="A25" s="6" t="s">
        <v>294</v>
      </c>
      <c r="B25" s="6" t="s">
        <v>295</v>
      </c>
      <c r="C25" s="6" t="s">
        <v>270</v>
      </c>
      <c r="D25" s="10" t="s">
        <v>134</v>
      </c>
      <c r="E25" s="18"/>
      <c r="F25" s="10"/>
    </row>
    <row r="26" customFormat="false" ht="15" hidden="false" customHeight="false" outlineLevel="0" collapsed="false">
      <c r="A26" s="6" t="s">
        <v>294</v>
      </c>
      <c r="B26" s="6" t="s">
        <v>296</v>
      </c>
      <c r="C26" s="6" t="s">
        <v>270</v>
      </c>
      <c r="D26" s="10" t="s">
        <v>134</v>
      </c>
      <c r="E26" s="18"/>
      <c r="F26" s="10"/>
    </row>
    <row r="27" customFormat="false" ht="15" hidden="false" customHeight="false" outlineLevel="0" collapsed="false">
      <c r="A27" s="6" t="s">
        <v>294</v>
      </c>
      <c r="B27" s="6" t="s">
        <v>297</v>
      </c>
      <c r="C27" s="6" t="s">
        <v>270</v>
      </c>
      <c r="D27" s="10" t="s">
        <v>134</v>
      </c>
      <c r="E27" s="18"/>
      <c r="F27" s="10"/>
    </row>
    <row r="28" customFormat="false" ht="15" hidden="false" customHeight="false" outlineLevel="0" collapsed="false">
      <c r="A28" s="6" t="s">
        <v>294</v>
      </c>
      <c r="B28" s="6" t="s">
        <v>298</v>
      </c>
      <c r="C28" s="6" t="s">
        <v>270</v>
      </c>
      <c r="D28" s="10" t="s">
        <v>134</v>
      </c>
      <c r="E28" s="18"/>
      <c r="F28" s="10"/>
    </row>
    <row r="29" customFormat="false" ht="15" hidden="false" customHeight="false" outlineLevel="0" collapsed="false">
      <c r="A29" s="6" t="s">
        <v>294</v>
      </c>
      <c r="B29" s="6" t="s">
        <v>299</v>
      </c>
      <c r="C29" s="6" t="s">
        <v>270</v>
      </c>
      <c r="D29" s="10" t="s">
        <v>134</v>
      </c>
      <c r="E29" s="18"/>
      <c r="F29" s="10"/>
    </row>
    <row r="30" customFormat="false" ht="15" hidden="false" customHeight="false" outlineLevel="0" collapsed="false">
      <c r="A30" s="6" t="s">
        <v>300</v>
      </c>
      <c r="B30" s="6" t="s">
        <v>301</v>
      </c>
      <c r="C30" s="6" t="s">
        <v>277</v>
      </c>
      <c r="D30" s="10" t="s">
        <v>134</v>
      </c>
      <c r="E30" s="18"/>
      <c r="F30" s="10"/>
    </row>
    <row r="31" customFormat="false" ht="15" hidden="false" customHeight="false" outlineLevel="0" collapsed="false">
      <c r="A31" s="6" t="s">
        <v>300</v>
      </c>
      <c r="B31" s="6" t="s">
        <v>59</v>
      </c>
      <c r="C31" s="6" t="s">
        <v>277</v>
      </c>
      <c r="D31" s="10" t="s">
        <v>134</v>
      </c>
      <c r="E31" s="18"/>
      <c r="F31" s="10"/>
    </row>
    <row r="32" customFormat="false" ht="15" hidden="false" customHeight="false" outlineLevel="0" collapsed="false">
      <c r="A32" s="6" t="s">
        <v>300</v>
      </c>
      <c r="B32" s="6" t="s">
        <v>302</v>
      </c>
      <c r="C32" s="6" t="s">
        <v>277</v>
      </c>
      <c r="D32" s="10" t="s">
        <v>134</v>
      </c>
      <c r="E32" s="18"/>
      <c r="F32" s="10"/>
    </row>
    <row r="33" customFormat="false" ht="15" hidden="false" customHeight="false" outlineLevel="0" collapsed="false">
      <c r="A33" s="6" t="s">
        <v>300</v>
      </c>
      <c r="B33" s="6" t="s">
        <v>303</v>
      </c>
      <c r="C33" s="6" t="s">
        <v>277</v>
      </c>
      <c r="D33" s="10" t="s">
        <v>134</v>
      </c>
      <c r="E33" s="18"/>
      <c r="F33" s="10"/>
    </row>
    <row r="34" customFormat="false" ht="15" hidden="false" customHeight="false" outlineLevel="0" collapsed="false">
      <c r="A34" s="6" t="s">
        <v>300</v>
      </c>
      <c r="B34" s="6" t="s">
        <v>304</v>
      </c>
      <c r="C34" s="6" t="s">
        <v>305</v>
      </c>
      <c r="D34" s="10" t="s">
        <v>134</v>
      </c>
      <c r="E34" s="18"/>
      <c r="F34" s="10"/>
    </row>
    <row r="36" customFormat="false" ht="15" hidden="false" customHeight="false" outlineLevel="0" collapsed="false">
      <c r="A36" s="3" t="s">
        <v>306</v>
      </c>
    </row>
    <row r="37" customFormat="false" ht="15" hidden="false" customHeight="false" outlineLevel="0" collapsed="false">
      <c r="A37" s="2" t="s">
        <v>134</v>
      </c>
      <c r="B37" s="2" t="n">
        <f aca="false">COUNTIF($D$4:$D$34,A37)</f>
        <v>31</v>
      </c>
    </row>
    <row r="38" customFormat="false" ht="15" hidden="false" customHeight="false" outlineLevel="0" collapsed="false">
      <c r="A38" s="2" t="s">
        <v>307</v>
      </c>
      <c r="B38" s="2" t="n">
        <f aca="false">COUNTIF($D$4:$D$34,A38)</f>
        <v>0</v>
      </c>
    </row>
    <row r="39" customFormat="false" ht="15" hidden="false" customHeight="false" outlineLevel="0" collapsed="false">
      <c r="A39" s="2" t="s">
        <v>308</v>
      </c>
      <c r="B39" s="2" t="n">
        <f aca="false">COUNTIF($D$4:$D$34,A39)</f>
        <v>0</v>
      </c>
    </row>
    <row r="40" customFormat="false" ht="15" hidden="false" customHeight="false" outlineLevel="0" collapsed="false">
      <c r="A40" s="2" t="s">
        <v>309</v>
      </c>
      <c r="B40" s="2" t="n">
        <f aca="false">COUNTIF($D$4:$D$34,A40)</f>
        <v>0</v>
      </c>
    </row>
    <row r="41" customFormat="false" ht="15" hidden="false" customHeight="false" outlineLevel="0" collapsed="false">
      <c r="A41" s="3" t="s">
        <v>310</v>
      </c>
      <c r="B41" s="3" t="n">
        <f aca="false">COUNTA($B$4:$B$34)</f>
        <v>31</v>
      </c>
    </row>
    <row r="42" customFormat="false" ht="15" hidden="false" customHeight="false" outlineLevel="0" collapsed="false">
      <c r="A42" s="3" t="s">
        <v>203</v>
      </c>
      <c r="B42" s="20" t="n">
        <f aca="false">IF(B41=0,0,B39/B41)</f>
        <v>0</v>
      </c>
    </row>
  </sheetData>
  <autoFilter ref="A3:F34"/>
  <conditionalFormatting sqref="D4:D34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5">
      <formula>"Em andamento"</formula>
    </cfRule>
    <cfRule type="cellIs" priority="4" operator="equal" aboveAverage="0" equalAverage="0" bottom="0" percent="0" rank="0" text="" dxfId="6">
      <formula>"Pausada"</formula>
    </cfRule>
  </conditionalFormatting>
  <dataValidations count="1">
    <dataValidation allowBlank="true" errorStyle="stop" operator="between" showDropDown="false" showErrorMessage="false" showInputMessage="false" sqref="D4:D34" type="list">
      <formula1>"Não iniciada,Em andamento,Concluída,Pausada"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311</v>
      </c>
    </row>
    <row r="3" customFormat="false" ht="15" hidden="false" customHeight="false" outlineLevel="0" collapsed="false">
      <c r="A3" s="8" t="s">
        <v>312</v>
      </c>
      <c r="B3" s="8" t="s">
        <v>313</v>
      </c>
      <c r="C3" s="8" t="s">
        <v>65</v>
      </c>
      <c r="D3" s="8" t="s">
        <v>314</v>
      </c>
      <c r="E3" s="8" t="s">
        <v>315</v>
      </c>
    </row>
    <row r="4" customFormat="false" ht="15" hidden="false" customHeight="false" outlineLevel="0" collapsed="false">
      <c r="A4" s="6" t="s">
        <v>316</v>
      </c>
      <c r="B4" s="6" t="s">
        <v>317</v>
      </c>
      <c r="C4" s="6" t="s">
        <v>275</v>
      </c>
      <c r="D4" s="10" t="s">
        <v>318</v>
      </c>
      <c r="E4" s="10" t="s">
        <v>319</v>
      </c>
    </row>
    <row r="5" customFormat="false" ht="15" hidden="false" customHeight="false" outlineLevel="0" collapsed="false">
      <c r="A5" s="6" t="s">
        <v>320</v>
      </c>
      <c r="B5" s="6" t="s">
        <v>321</v>
      </c>
      <c r="C5" s="6" t="s">
        <v>286</v>
      </c>
      <c r="D5" s="10" t="s">
        <v>322</v>
      </c>
      <c r="E5" s="10" t="s">
        <v>323</v>
      </c>
    </row>
    <row r="6" customFormat="false" ht="15" hidden="false" customHeight="false" outlineLevel="0" collapsed="false">
      <c r="A6" s="6" t="s">
        <v>324</v>
      </c>
      <c r="B6" s="6" t="s">
        <v>325</v>
      </c>
      <c r="C6" s="6" t="s">
        <v>275</v>
      </c>
      <c r="D6" s="10" t="s">
        <v>322</v>
      </c>
      <c r="E6" s="10" t="s">
        <v>326</v>
      </c>
    </row>
    <row r="7" customFormat="false" ht="15" hidden="false" customHeight="false" outlineLevel="0" collapsed="false">
      <c r="A7" s="6" t="s">
        <v>327</v>
      </c>
      <c r="B7" s="6" t="s">
        <v>328</v>
      </c>
      <c r="C7" s="6" t="s">
        <v>275</v>
      </c>
      <c r="D7" s="10" t="s">
        <v>329</v>
      </c>
      <c r="E7" s="10" t="s">
        <v>330</v>
      </c>
    </row>
    <row r="8" customFormat="false" ht="15" hidden="false" customHeight="false" outlineLevel="0" collapsed="false">
      <c r="A8" s="6" t="s">
        <v>331</v>
      </c>
      <c r="B8" s="6" t="s">
        <v>332</v>
      </c>
      <c r="C8" s="6" t="s">
        <v>275</v>
      </c>
      <c r="D8" s="10" t="s">
        <v>333</v>
      </c>
      <c r="E8" s="10" t="s">
        <v>75</v>
      </c>
    </row>
    <row r="9" customFormat="false" ht="15" hidden="false" customHeight="false" outlineLevel="0" collapsed="false">
      <c r="A9" s="6" t="s">
        <v>334</v>
      </c>
      <c r="B9" s="6" t="s">
        <v>335</v>
      </c>
      <c r="C9" s="6" t="s">
        <v>286</v>
      </c>
      <c r="D9" s="10" t="s">
        <v>336</v>
      </c>
      <c r="E9" s="10" t="s">
        <v>337</v>
      </c>
    </row>
    <row r="10" customFormat="false" ht="15" hidden="false" customHeight="false" outlineLevel="0" collapsed="false">
      <c r="A10" s="6" t="s">
        <v>338</v>
      </c>
      <c r="B10" s="6" t="s">
        <v>339</v>
      </c>
      <c r="C10" s="6" t="s">
        <v>286</v>
      </c>
      <c r="D10" s="10" t="s">
        <v>322</v>
      </c>
      <c r="E10" s="10" t="s">
        <v>340</v>
      </c>
    </row>
    <row r="11" customFormat="false" ht="15" hidden="false" customHeight="false" outlineLevel="0" collapsed="false">
      <c r="A11" s="6" t="s">
        <v>341</v>
      </c>
      <c r="B11" s="6" t="s">
        <v>342</v>
      </c>
      <c r="C11" s="6" t="s">
        <v>343</v>
      </c>
      <c r="D11" s="10" t="s">
        <v>322</v>
      </c>
      <c r="E11" s="10" t="s">
        <v>344</v>
      </c>
    </row>
    <row r="12" customFormat="false" ht="15" hidden="false" customHeight="false" outlineLevel="0" collapsed="false">
      <c r="A12" s="6" t="s">
        <v>345</v>
      </c>
      <c r="B12" s="6" t="s">
        <v>346</v>
      </c>
      <c r="C12" s="6" t="s">
        <v>300</v>
      </c>
      <c r="D12" s="10" t="s">
        <v>322</v>
      </c>
      <c r="E12" s="10" t="s">
        <v>347</v>
      </c>
    </row>
    <row r="13" customFormat="false" ht="15" hidden="false" customHeight="false" outlineLevel="0" collapsed="false">
      <c r="A13" s="6" t="s">
        <v>348</v>
      </c>
      <c r="B13" s="6" t="s">
        <v>349</v>
      </c>
      <c r="C13" s="6" t="s">
        <v>300</v>
      </c>
      <c r="D13" s="10" t="s">
        <v>322</v>
      </c>
      <c r="E13" s="10" t="s">
        <v>347</v>
      </c>
    </row>
    <row r="14" customFormat="false" ht="15" hidden="false" customHeight="false" outlineLevel="0" collapsed="false">
      <c r="A14" s="6" t="s">
        <v>350</v>
      </c>
      <c r="B14" s="6" t="s">
        <v>351</v>
      </c>
      <c r="C14" s="6" t="s">
        <v>286</v>
      </c>
      <c r="D14" s="10" t="s">
        <v>352</v>
      </c>
      <c r="E14" s="10" t="s">
        <v>353</v>
      </c>
    </row>
    <row r="15" customFormat="false" ht="15" hidden="false" customHeight="false" outlineLevel="0" collapsed="false">
      <c r="A15" s="6" t="s">
        <v>354</v>
      </c>
      <c r="B15" s="6" t="s">
        <v>355</v>
      </c>
      <c r="C15" s="6" t="s">
        <v>300</v>
      </c>
      <c r="D15" s="10" t="s">
        <v>322</v>
      </c>
      <c r="E15" s="10" t="s">
        <v>356</v>
      </c>
    </row>
    <row r="16" customFormat="false" ht="15" hidden="false" customHeight="false" outlineLevel="0" collapsed="false">
      <c r="A16" s="6" t="s">
        <v>357</v>
      </c>
      <c r="B16" s="6" t="s">
        <v>358</v>
      </c>
      <c r="C16" s="6" t="s">
        <v>359</v>
      </c>
      <c r="D16" s="10" t="s">
        <v>360</v>
      </c>
      <c r="E16" s="10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362</v>
      </c>
    </row>
    <row r="3" customFormat="false" ht="15" hidden="false" customHeight="false" outlineLevel="0" collapsed="false">
      <c r="A3" s="8" t="s">
        <v>363</v>
      </c>
      <c r="B3" s="8" t="s">
        <v>364</v>
      </c>
      <c r="C3" s="8" t="s">
        <v>365</v>
      </c>
      <c r="D3" s="8" t="s">
        <v>366</v>
      </c>
      <c r="E3" s="8" t="s">
        <v>367</v>
      </c>
    </row>
    <row r="4" customFormat="false" ht="15" hidden="false" customHeight="false" outlineLevel="0" collapsed="false">
      <c r="A4" s="6" t="s">
        <v>368</v>
      </c>
      <c r="B4" s="21" t="n">
        <v>0</v>
      </c>
      <c r="C4" s="21" t="n">
        <v>30</v>
      </c>
      <c r="D4" s="21" t="n">
        <v>30</v>
      </c>
      <c r="E4" s="6" t="s">
        <v>369</v>
      </c>
    </row>
    <row r="5" customFormat="false" ht="15" hidden="false" customHeight="false" outlineLevel="0" collapsed="false">
      <c r="A5" s="6" t="s">
        <v>331</v>
      </c>
      <c r="B5" s="21" t="n">
        <v>100</v>
      </c>
      <c r="C5" s="21" t="n">
        <v>300</v>
      </c>
      <c r="D5" s="21" t="n">
        <v>500</v>
      </c>
      <c r="E5" s="6" t="s">
        <v>370</v>
      </c>
    </row>
    <row r="6" customFormat="false" ht="15" hidden="false" customHeight="false" outlineLevel="0" collapsed="false">
      <c r="A6" s="6" t="s">
        <v>371</v>
      </c>
      <c r="B6" s="21" t="n">
        <v>0</v>
      </c>
      <c r="C6" s="21" t="n">
        <v>200</v>
      </c>
      <c r="D6" s="21" t="n">
        <v>400</v>
      </c>
      <c r="E6" s="6" t="s">
        <v>372</v>
      </c>
    </row>
    <row r="7" customFormat="false" ht="15" hidden="false" customHeight="false" outlineLevel="0" collapsed="false">
      <c r="A7" s="6" t="s">
        <v>373</v>
      </c>
      <c r="B7" s="21" t="n">
        <v>0</v>
      </c>
      <c r="C7" s="21" t="n">
        <v>20</v>
      </c>
      <c r="D7" s="21" t="n">
        <v>40</v>
      </c>
      <c r="E7" s="6"/>
    </row>
    <row r="8" customFormat="false" ht="15" hidden="false" customHeight="false" outlineLevel="0" collapsed="false">
      <c r="A8" s="6" t="s">
        <v>374</v>
      </c>
      <c r="B8" s="21" t="n">
        <v>0</v>
      </c>
      <c r="C8" s="21" t="n">
        <v>50</v>
      </c>
      <c r="D8" s="21" t="n">
        <v>150</v>
      </c>
      <c r="E8" s="6" t="s">
        <v>375</v>
      </c>
    </row>
    <row r="9" customFormat="false" ht="15" hidden="false" customHeight="false" outlineLevel="0" collapsed="false">
      <c r="A9" s="6" t="s">
        <v>376</v>
      </c>
      <c r="B9" s="21" t="n">
        <v>0</v>
      </c>
      <c r="C9" s="21" t="n">
        <v>0</v>
      </c>
      <c r="D9" s="21" t="n">
        <v>150</v>
      </c>
      <c r="E9" s="6" t="s">
        <v>377</v>
      </c>
    </row>
    <row r="10" customFormat="false" ht="15" hidden="false" customHeight="false" outlineLevel="0" collapsed="false">
      <c r="A10" s="6" t="s">
        <v>348</v>
      </c>
      <c r="B10" s="21" t="n">
        <v>0</v>
      </c>
      <c r="C10" s="21" t="n">
        <v>0</v>
      </c>
      <c r="D10" s="21" t="n">
        <v>80</v>
      </c>
      <c r="E10" s="6"/>
    </row>
    <row r="11" customFormat="false" ht="15" hidden="false" customHeight="false" outlineLevel="0" collapsed="false">
      <c r="A11" s="6" t="s">
        <v>341</v>
      </c>
      <c r="B11" s="21" t="n">
        <v>0</v>
      </c>
      <c r="C11" s="21" t="n">
        <v>0</v>
      </c>
      <c r="D11" s="21" t="n">
        <v>0</v>
      </c>
      <c r="E11" s="6" t="s">
        <v>378</v>
      </c>
    </row>
    <row r="12" customFormat="false" ht="15" hidden="false" customHeight="false" outlineLevel="0" collapsed="false">
      <c r="A12" s="3" t="s">
        <v>379</v>
      </c>
      <c r="B12" s="22" t="n">
        <f aca="false">SUM(B4:B11)</f>
        <v>100</v>
      </c>
      <c r="C12" s="22" t="n">
        <f aca="false">SUM(C4:C11)</f>
        <v>600</v>
      </c>
      <c r="D12" s="22" t="n">
        <f aca="false">SUM(D4:D11)</f>
        <v>1350</v>
      </c>
    </row>
    <row r="13" customFormat="false" ht="15" hidden="false" customHeight="false" outlineLevel="0" collapsed="false">
      <c r="B13" s="23"/>
      <c r="C13" s="23"/>
      <c r="D13" s="23"/>
    </row>
    <row r="14" customFormat="false" ht="15" hidden="false" customHeight="false" outlineLevel="0" collapsed="false">
      <c r="A14" s="3" t="s">
        <v>380</v>
      </c>
      <c r="B14" s="24" t="n">
        <v>10</v>
      </c>
      <c r="C14" s="24" t="n">
        <v>30</v>
      </c>
      <c r="D14" s="24" t="n">
        <v>50</v>
      </c>
    </row>
    <row r="15" customFormat="false" ht="15" hidden="false" customHeight="false" outlineLevel="0" collapsed="false">
      <c r="A15" s="3" t="s">
        <v>381</v>
      </c>
      <c r="B15" s="24" t="n">
        <v>97</v>
      </c>
      <c r="C15" s="24" t="n">
        <v>150</v>
      </c>
      <c r="D15" s="24" t="n">
        <v>150</v>
      </c>
    </row>
    <row r="16" customFormat="false" ht="15" hidden="false" customHeight="false" outlineLevel="0" collapsed="false">
      <c r="A16" s="3" t="s">
        <v>382</v>
      </c>
      <c r="B16" s="22" t="n">
        <f aca="false">B14*B15</f>
        <v>970</v>
      </c>
      <c r="C16" s="22" t="n">
        <f aca="false">C14*C15</f>
        <v>4500</v>
      </c>
      <c r="D16" s="22" t="n">
        <f aca="false">D14*D15</f>
        <v>7500</v>
      </c>
    </row>
    <row r="17" customFormat="false" ht="15" hidden="false" customHeight="false" outlineLevel="0" collapsed="false">
      <c r="A17" s="3" t="s">
        <v>383</v>
      </c>
      <c r="B17" s="22" t="n">
        <f aca="false">B16-B12</f>
        <v>870</v>
      </c>
      <c r="C17" s="22" t="n">
        <f aca="false">C16-C12</f>
        <v>3900</v>
      </c>
      <c r="D17" s="22" t="n">
        <f aca="false">D16-D12</f>
        <v>6150</v>
      </c>
    </row>
    <row r="18" customFormat="false" ht="15" hidden="false" customHeight="false" outlineLevel="0" collapsed="false">
      <c r="A18" s="3" t="s">
        <v>384</v>
      </c>
      <c r="B18" s="20" t="n">
        <f aca="false">IF(B16=0,0,B17/B16)</f>
        <v>0.896907216494845</v>
      </c>
      <c r="C18" s="20" t="n">
        <f aca="false">IF(C16=0,0,C17/C16)</f>
        <v>0.866666666666667</v>
      </c>
      <c r="D18" s="20" t="n">
        <f aca="false">IF(D16=0,0,D17/D16)</f>
        <v>0.82</v>
      </c>
    </row>
    <row r="20" customFormat="false" ht="15" hidden="false" customHeight="false" outlineLevel="0" collapsed="false">
      <c r="A20" s="7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21" min="4" style="0" width="6"/>
  </cols>
  <sheetData>
    <row r="1" customFormat="false" ht="17.35" hidden="false" customHeight="false" outlineLevel="0" collapsed="false">
      <c r="A1" s="1" t="s">
        <v>386</v>
      </c>
    </row>
    <row r="2" customFormat="false" ht="15" hidden="false" customHeight="false" outlineLevel="0" collapsed="false">
      <c r="A2" s="7" t="s">
        <v>387</v>
      </c>
    </row>
    <row r="3" customFormat="false" ht="15" hidden="false" customHeight="false" outlineLevel="0" collapsed="false">
      <c r="A3" s="3" t="s">
        <v>388</v>
      </c>
      <c r="B3" s="25" t="n">
        <v>46308</v>
      </c>
      <c r="D3" s="26" t="n">
        <f aca="false">$B$3+0</f>
        <v>46308</v>
      </c>
      <c r="E3" s="26" t="n">
        <f aca="false">$B$3+7</f>
        <v>46315</v>
      </c>
      <c r="F3" s="26" t="n">
        <f aca="false">$B$3+14</f>
        <v>46322</v>
      </c>
      <c r="G3" s="26" t="n">
        <f aca="false">$B$3+21</f>
        <v>46329</v>
      </c>
      <c r="H3" s="26" t="n">
        <f aca="false">$B$3+28</f>
        <v>46336</v>
      </c>
      <c r="I3" s="26" t="n">
        <f aca="false">$B$3+35</f>
        <v>46343</v>
      </c>
      <c r="J3" s="26" t="n">
        <f aca="false">$B$3+42</f>
        <v>46350</v>
      </c>
      <c r="K3" s="26" t="n">
        <f aca="false">$B$3+49</f>
        <v>46357</v>
      </c>
      <c r="L3" s="26" t="n">
        <f aca="false">$B$3+56</f>
        <v>46364</v>
      </c>
      <c r="M3" s="26" t="n">
        <f aca="false">$B$3+63</f>
        <v>46371</v>
      </c>
      <c r="N3" s="26" t="n">
        <f aca="false">$B$3+70</f>
        <v>46378</v>
      </c>
      <c r="O3" s="26" t="n">
        <f aca="false">$B$3+77</f>
        <v>46385</v>
      </c>
      <c r="P3" s="26" t="n">
        <f aca="false">$B$3+84</f>
        <v>46392</v>
      </c>
      <c r="Q3" s="26" t="n">
        <f aca="false">$B$3+91</f>
        <v>46399</v>
      </c>
      <c r="R3" s="26" t="n">
        <f aca="false">$B$3+98</f>
        <v>46406</v>
      </c>
      <c r="S3" s="26" t="n">
        <f aca="false">$B$3+105</f>
        <v>46413</v>
      </c>
      <c r="T3" s="26" t="n">
        <f aca="false">$B$3+112</f>
        <v>46420</v>
      </c>
      <c r="U3" s="26" t="n">
        <f aca="false">$B$3+119</f>
        <v>46427</v>
      </c>
    </row>
    <row r="4" customFormat="false" ht="15" hidden="false" customHeight="false" outlineLevel="0" collapsed="false">
      <c r="A4" s="27" t="s">
        <v>65</v>
      </c>
      <c r="B4" s="27" t="s">
        <v>238</v>
      </c>
      <c r="C4" s="27" t="s">
        <v>389</v>
      </c>
      <c r="D4" s="27" t="s">
        <v>390</v>
      </c>
      <c r="E4" s="27" t="s">
        <v>391</v>
      </c>
      <c r="F4" s="27" t="s">
        <v>392</v>
      </c>
      <c r="G4" s="27" t="s">
        <v>393</v>
      </c>
      <c r="H4" s="27" t="s">
        <v>394</v>
      </c>
      <c r="I4" s="27" t="s">
        <v>395</v>
      </c>
      <c r="J4" s="27" t="s">
        <v>396</v>
      </c>
      <c r="K4" s="27" t="s">
        <v>397</v>
      </c>
      <c r="L4" s="27" t="s">
        <v>398</v>
      </c>
      <c r="M4" s="27" t="s">
        <v>399</v>
      </c>
      <c r="N4" s="27" t="s">
        <v>400</v>
      </c>
      <c r="O4" s="27" t="s">
        <v>401</v>
      </c>
      <c r="P4" s="27" t="s">
        <v>402</v>
      </c>
      <c r="Q4" s="27" t="s">
        <v>403</v>
      </c>
      <c r="R4" s="27" t="s">
        <v>404</v>
      </c>
      <c r="S4" s="27" t="s">
        <v>405</v>
      </c>
      <c r="T4" s="27" t="s">
        <v>406</v>
      </c>
      <c r="U4" s="27" t="s">
        <v>407</v>
      </c>
    </row>
    <row r="5" customFormat="false" ht="15" hidden="false" customHeight="false" outlineLevel="0" collapsed="false">
      <c r="A5" s="11" t="str">
        <f aca="false">Fases!A4</f>
        <v>0 · Validação</v>
      </c>
      <c r="B5" s="28" t="n">
        <f aca="false">Fases!C4</f>
        <v>46308</v>
      </c>
      <c r="C5" s="28" t="n">
        <f aca="false">Fases!E4</f>
        <v>46322</v>
      </c>
      <c r="D5" s="29" t="str">
        <f aca="false">IF(AND(D$3&gt;=$B5,D$3&lt;$C5),"■","")</f>
        <v>■</v>
      </c>
      <c r="E5" s="29" t="str">
        <f aca="false">IF(AND(E$3&gt;=$B5,E$3&lt;$C5),"■","")</f>
        <v>■</v>
      </c>
      <c r="F5" s="29" t="str">
        <f aca="false">IF(AND(F$3&gt;=$B5,F$3&lt;$C5),"■","")</f>
        <v/>
      </c>
      <c r="G5" s="29" t="str">
        <f aca="false">IF(AND(G$3&gt;=$B5,G$3&lt;$C5),"■","")</f>
        <v/>
      </c>
      <c r="H5" s="29" t="str">
        <f aca="false">IF(AND(H$3&gt;=$B5,H$3&lt;$C5),"■","")</f>
        <v/>
      </c>
      <c r="I5" s="29" t="str">
        <f aca="false">IF(AND(I$3&gt;=$B5,I$3&lt;$C5),"■","")</f>
        <v/>
      </c>
      <c r="J5" s="29" t="str">
        <f aca="false">IF(AND(J$3&gt;=$B5,J$3&lt;$C5),"■","")</f>
        <v/>
      </c>
      <c r="K5" s="29" t="str">
        <f aca="false">IF(AND(K$3&gt;=$B5,K$3&lt;$C5),"■","")</f>
        <v/>
      </c>
      <c r="L5" s="29" t="str">
        <f aca="false">IF(AND(L$3&gt;=$B5,L$3&lt;$C5),"■","")</f>
        <v/>
      </c>
      <c r="M5" s="29" t="str">
        <f aca="false">IF(AND(M$3&gt;=$B5,M$3&lt;$C5),"■","")</f>
        <v/>
      </c>
      <c r="N5" s="29" t="str">
        <f aca="false">IF(AND(N$3&gt;=$B5,N$3&lt;$C5),"■","")</f>
        <v/>
      </c>
      <c r="O5" s="29" t="str">
        <f aca="false">IF(AND(O$3&gt;=$B5,O$3&lt;$C5),"■","")</f>
        <v/>
      </c>
      <c r="P5" s="29" t="str">
        <f aca="false">IF(AND(P$3&gt;=$B5,P$3&lt;$C5),"■","")</f>
        <v/>
      </c>
      <c r="Q5" s="29" t="str">
        <f aca="false">IF(AND(Q$3&gt;=$B5,Q$3&lt;$C5),"■","")</f>
        <v/>
      </c>
      <c r="R5" s="29" t="str">
        <f aca="false">IF(AND(R$3&gt;=$B5,R$3&lt;$C5),"■","")</f>
        <v/>
      </c>
      <c r="S5" s="29" t="str">
        <f aca="false">IF(AND(S$3&gt;=$B5,S$3&lt;$C5),"■","")</f>
        <v/>
      </c>
      <c r="T5" s="29" t="str">
        <f aca="false">IF(AND(T$3&gt;=$B5,T$3&lt;$C5),"■","")</f>
        <v/>
      </c>
      <c r="U5" s="29" t="str">
        <f aca="false">IF(AND(U$3&gt;=$B5,U$3&lt;$C5),"■","")</f>
        <v/>
      </c>
    </row>
    <row r="6" customFormat="false" ht="15" hidden="false" customHeight="false" outlineLevel="0" collapsed="false">
      <c r="A6" s="11" t="str">
        <f aca="false">Fases!A5</f>
        <v>1 · MVP Telegram</v>
      </c>
      <c r="B6" s="28" t="n">
        <f aca="false">Fases!C5</f>
        <v>46322</v>
      </c>
      <c r="C6" s="28" t="n">
        <f aca="false">Fases!E5</f>
        <v>46343</v>
      </c>
      <c r="D6" s="29" t="str">
        <f aca="false">IF(AND(D$3&gt;=$B6,D$3&lt;$C6),"■","")</f>
        <v/>
      </c>
      <c r="E6" s="29" t="str">
        <f aca="false">IF(AND(E$3&gt;=$B6,E$3&lt;$C6),"■","")</f>
        <v/>
      </c>
      <c r="F6" s="29" t="str">
        <f aca="false">IF(AND(F$3&gt;=$B6,F$3&lt;$C6),"■","")</f>
        <v>■</v>
      </c>
      <c r="G6" s="29" t="str">
        <f aca="false">IF(AND(G$3&gt;=$B6,G$3&lt;$C6),"■","")</f>
        <v>■</v>
      </c>
      <c r="H6" s="29" t="str">
        <f aca="false">IF(AND(H$3&gt;=$B6,H$3&lt;$C6),"■","")</f>
        <v>■</v>
      </c>
      <c r="I6" s="29" t="str">
        <f aca="false">IF(AND(I$3&gt;=$B6,I$3&lt;$C6),"■","")</f>
        <v/>
      </c>
      <c r="J6" s="29" t="str">
        <f aca="false">IF(AND(J$3&gt;=$B6,J$3&lt;$C6),"■","")</f>
        <v/>
      </c>
      <c r="K6" s="29" t="str">
        <f aca="false">IF(AND(K$3&gt;=$B6,K$3&lt;$C6),"■","")</f>
        <v/>
      </c>
      <c r="L6" s="29" t="str">
        <f aca="false">IF(AND(L$3&gt;=$B6,L$3&lt;$C6),"■","")</f>
        <v/>
      </c>
      <c r="M6" s="29" t="str">
        <f aca="false">IF(AND(M$3&gt;=$B6,M$3&lt;$C6),"■","")</f>
        <v/>
      </c>
      <c r="N6" s="29" t="str">
        <f aca="false">IF(AND(N$3&gt;=$B6,N$3&lt;$C6),"■","")</f>
        <v/>
      </c>
      <c r="O6" s="29" t="str">
        <f aca="false">IF(AND(O$3&gt;=$B6,O$3&lt;$C6),"■","")</f>
        <v/>
      </c>
      <c r="P6" s="29" t="str">
        <f aca="false">IF(AND(P$3&gt;=$B6,P$3&lt;$C6),"■","")</f>
        <v/>
      </c>
      <c r="Q6" s="29" t="str">
        <f aca="false">IF(AND(Q$3&gt;=$B6,Q$3&lt;$C6),"■","")</f>
        <v/>
      </c>
      <c r="R6" s="29" t="str">
        <f aca="false">IF(AND(R$3&gt;=$B6,R$3&lt;$C6),"■","")</f>
        <v/>
      </c>
      <c r="S6" s="29" t="str">
        <f aca="false">IF(AND(S$3&gt;=$B6,S$3&lt;$C6),"■","")</f>
        <v/>
      </c>
      <c r="T6" s="29" t="str">
        <f aca="false">IF(AND(T$3&gt;=$B6,T$3&lt;$C6),"■","")</f>
        <v/>
      </c>
      <c r="U6" s="29" t="str">
        <f aca="false">IF(AND(U$3&gt;=$B6,U$3&lt;$C6),"■","")</f>
        <v/>
      </c>
    </row>
    <row r="7" customFormat="false" ht="15" hidden="false" customHeight="false" outlineLevel="0" collapsed="false">
      <c r="A7" s="11" t="str">
        <f aca="false">Fases!A6</f>
        <v>2 · WhatsApp, painel e conta compartilhada</v>
      </c>
      <c r="B7" s="28" t="n">
        <f aca="false">Fases!C6</f>
        <v>46343</v>
      </c>
      <c r="C7" s="28" t="n">
        <f aca="false">Fases!E6</f>
        <v>46371</v>
      </c>
      <c r="D7" s="29" t="str">
        <f aca="false">IF(AND(D$3&gt;=$B7,D$3&lt;$C7),"■","")</f>
        <v/>
      </c>
      <c r="E7" s="29" t="str">
        <f aca="false">IF(AND(E$3&gt;=$B7,E$3&lt;$C7),"■","")</f>
        <v/>
      </c>
      <c r="F7" s="29" t="str">
        <f aca="false">IF(AND(F$3&gt;=$B7,F$3&lt;$C7),"■","")</f>
        <v/>
      </c>
      <c r="G7" s="29" t="str">
        <f aca="false">IF(AND(G$3&gt;=$B7,G$3&lt;$C7),"■","")</f>
        <v/>
      </c>
      <c r="H7" s="29" t="str">
        <f aca="false">IF(AND(H$3&gt;=$B7,H$3&lt;$C7),"■","")</f>
        <v/>
      </c>
      <c r="I7" s="29" t="str">
        <f aca="false">IF(AND(I$3&gt;=$B7,I$3&lt;$C7),"■","")</f>
        <v>■</v>
      </c>
      <c r="J7" s="29" t="str">
        <f aca="false">IF(AND(J$3&gt;=$B7,J$3&lt;$C7),"■","")</f>
        <v>■</v>
      </c>
      <c r="K7" s="29" t="str">
        <f aca="false">IF(AND(K$3&gt;=$B7,K$3&lt;$C7),"■","")</f>
        <v>■</v>
      </c>
      <c r="L7" s="29" t="str">
        <f aca="false">IF(AND(L$3&gt;=$B7,L$3&lt;$C7),"■","")</f>
        <v>■</v>
      </c>
      <c r="M7" s="29" t="str">
        <f aca="false">IF(AND(M$3&gt;=$B7,M$3&lt;$C7),"■","")</f>
        <v/>
      </c>
      <c r="N7" s="29" t="str">
        <f aca="false">IF(AND(N$3&gt;=$B7,N$3&lt;$C7),"■","")</f>
        <v/>
      </c>
      <c r="O7" s="29" t="str">
        <f aca="false">IF(AND(O$3&gt;=$B7,O$3&lt;$C7),"■","")</f>
        <v/>
      </c>
      <c r="P7" s="29" t="str">
        <f aca="false">IF(AND(P$3&gt;=$B7,P$3&lt;$C7),"■","")</f>
        <v/>
      </c>
      <c r="Q7" s="29" t="str">
        <f aca="false">IF(AND(Q$3&gt;=$B7,Q$3&lt;$C7),"■","")</f>
        <v/>
      </c>
      <c r="R7" s="29" t="str">
        <f aca="false">IF(AND(R$3&gt;=$B7,R$3&lt;$C7),"■","")</f>
        <v/>
      </c>
      <c r="S7" s="29" t="str">
        <f aca="false">IF(AND(S$3&gt;=$B7,S$3&lt;$C7),"■","")</f>
        <v/>
      </c>
      <c r="T7" s="29" t="str">
        <f aca="false">IF(AND(T$3&gt;=$B7,T$3&lt;$C7),"■","")</f>
        <v/>
      </c>
      <c r="U7" s="29" t="str">
        <f aca="false">IF(AND(U$3&gt;=$B7,U$3&lt;$C7),"■","")</f>
        <v/>
      </c>
    </row>
    <row r="8" customFormat="false" ht="15" hidden="false" customHeight="false" outlineLevel="0" collapsed="false">
      <c r="A8" s="11" t="str">
        <f aca="false">Fases!A7</f>
        <v>4 · Lançamento comercial</v>
      </c>
      <c r="B8" s="28" t="n">
        <f aca="false">Fases!C7</f>
        <v>46343</v>
      </c>
      <c r="C8" s="28" t="n">
        <f aca="false">Fases!E7</f>
        <v>46385</v>
      </c>
      <c r="D8" s="29" t="str">
        <f aca="false">IF(AND(D$3&gt;=$B8,D$3&lt;$C8),"■","")</f>
        <v/>
      </c>
      <c r="E8" s="29" t="str">
        <f aca="false">IF(AND(E$3&gt;=$B8,E$3&lt;$C8),"■","")</f>
        <v/>
      </c>
      <c r="F8" s="29" t="str">
        <f aca="false">IF(AND(F$3&gt;=$B8,F$3&lt;$C8),"■","")</f>
        <v/>
      </c>
      <c r="G8" s="29" t="str">
        <f aca="false">IF(AND(G$3&gt;=$B8,G$3&lt;$C8),"■","")</f>
        <v/>
      </c>
      <c r="H8" s="29" t="str">
        <f aca="false">IF(AND(H$3&gt;=$B8,H$3&lt;$C8),"■","")</f>
        <v/>
      </c>
      <c r="I8" s="29" t="str">
        <f aca="false">IF(AND(I$3&gt;=$B8,I$3&lt;$C8),"■","")</f>
        <v>■</v>
      </c>
      <c r="J8" s="29" t="str">
        <f aca="false">IF(AND(J$3&gt;=$B8,J$3&lt;$C8),"■","")</f>
        <v>■</v>
      </c>
      <c r="K8" s="29" t="str">
        <f aca="false">IF(AND(K$3&gt;=$B8,K$3&lt;$C8),"■","")</f>
        <v>■</v>
      </c>
      <c r="L8" s="29" t="str">
        <f aca="false">IF(AND(L$3&gt;=$B8,L$3&lt;$C8),"■","")</f>
        <v>■</v>
      </c>
      <c r="M8" s="29" t="str">
        <f aca="false">IF(AND(M$3&gt;=$B8,M$3&lt;$C8),"■","")</f>
        <v>■</v>
      </c>
      <c r="N8" s="29" t="str">
        <f aca="false">IF(AND(N$3&gt;=$B8,N$3&lt;$C8),"■","")</f>
        <v>■</v>
      </c>
      <c r="O8" s="29" t="str">
        <f aca="false">IF(AND(O$3&gt;=$B8,O$3&lt;$C8),"■","")</f>
        <v/>
      </c>
      <c r="P8" s="29" t="str">
        <f aca="false">IF(AND(P$3&gt;=$B8,P$3&lt;$C8),"■","")</f>
        <v/>
      </c>
      <c r="Q8" s="29" t="str">
        <f aca="false">IF(AND(Q$3&gt;=$B8,Q$3&lt;$C8),"■","")</f>
        <v/>
      </c>
      <c r="R8" s="29" t="str">
        <f aca="false">IF(AND(R$3&gt;=$B8,R$3&lt;$C8),"■","")</f>
        <v/>
      </c>
      <c r="S8" s="29" t="str">
        <f aca="false">IF(AND(S$3&gt;=$B8,S$3&lt;$C8),"■","")</f>
        <v/>
      </c>
      <c r="T8" s="29" t="str">
        <f aca="false">IF(AND(T$3&gt;=$B8,T$3&lt;$C8),"■","")</f>
        <v/>
      </c>
      <c r="U8" s="29" t="str">
        <f aca="false">IF(AND(U$3&gt;=$B8,U$3&lt;$C8),"■","")</f>
        <v/>
      </c>
    </row>
    <row r="9" customFormat="false" ht="15" hidden="false" customHeight="false" outlineLevel="0" collapsed="false">
      <c r="A9" s="11" t="str">
        <f aca="false">Fases!A8</f>
        <v>3 · Financeiro e integrações</v>
      </c>
      <c r="B9" s="28" t="n">
        <f aca="false">Fases!C8</f>
        <v>46371</v>
      </c>
      <c r="C9" s="28" t="n">
        <f aca="false">Fases!E8</f>
        <v>46413</v>
      </c>
      <c r="D9" s="29" t="str">
        <f aca="false">IF(AND(D$3&gt;=$B9,D$3&lt;$C9),"■","")</f>
        <v/>
      </c>
      <c r="E9" s="29" t="str">
        <f aca="false">IF(AND(E$3&gt;=$B9,E$3&lt;$C9),"■","")</f>
        <v/>
      </c>
      <c r="F9" s="29" t="str">
        <f aca="false">IF(AND(F$3&gt;=$B9,F$3&lt;$C9),"■","")</f>
        <v/>
      </c>
      <c r="G9" s="29" t="str">
        <f aca="false">IF(AND(G$3&gt;=$B9,G$3&lt;$C9),"■","")</f>
        <v/>
      </c>
      <c r="H9" s="29" t="str">
        <f aca="false">IF(AND(H$3&gt;=$B9,H$3&lt;$C9),"■","")</f>
        <v/>
      </c>
      <c r="I9" s="29" t="str">
        <f aca="false">IF(AND(I$3&gt;=$B9,I$3&lt;$C9),"■","")</f>
        <v/>
      </c>
      <c r="J9" s="29" t="str">
        <f aca="false">IF(AND(J$3&gt;=$B9,J$3&lt;$C9),"■","")</f>
        <v/>
      </c>
      <c r="K9" s="29" t="str">
        <f aca="false">IF(AND(K$3&gt;=$B9,K$3&lt;$C9),"■","")</f>
        <v/>
      </c>
      <c r="L9" s="29" t="str">
        <f aca="false">IF(AND(L$3&gt;=$B9,L$3&lt;$C9),"■","")</f>
        <v/>
      </c>
      <c r="M9" s="29" t="str">
        <f aca="false">IF(AND(M$3&gt;=$B9,M$3&lt;$C9),"■","")</f>
        <v>■</v>
      </c>
      <c r="N9" s="29" t="str">
        <f aca="false">IF(AND(N$3&gt;=$B9,N$3&lt;$C9),"■","")</f>
        <v>■</v>
      </c>
      <c r="O9" s="29" t="str">
        <f aca="false">IF(AND(O$3&gt;=$B9,O$3&lt;$C9),"■","")</f>
        <v>■</v>
      </c>
      <c r="P9" s="29" t="str">
        <f aca="false">IF(AND(P$3&gt;=$B9,P$3&lt;$C9),"■","")</f>
        <v>■</v>
      </c>
      <c r="Q9" s="29" t="str">
        <f aca="false">IF(AND(Q$3&gt;=$B9,Q$3&lt;$C9),"■","")</f>
        <v>■</v>
      </c>
      <c r="R9" s="29" t="str">
        <f aca="false">IF(AND(R$3&gt;=$B9,R$3&lt;$C9),"■","")</f>
        <v>■</v>
      </c>
      <c r="S9" s="29" t="str">
        <f aca="false">IF(AND(S$3&gt;=$B9,S$3&lt;$C9),"■","")</f>
        <v/>
      </c>
      <c r="T9" s="29" t="str">
        <f aca="false">IF(AND(T$3&gt;=$B9,T$3&lt;$C9),"■","")</f>
        <v/>
      </c>
      <c r="U9" s="29" t="str">
        <f aca="false">IF(AND(U$3&gt;=$B9,U$3&lt;$C9),"■","")</f>
        <v/>
      </c>
    </row>
  </sheetData>
  <conditionalFormatting sqref="D5:U9">
    <cfRule type="cellIs" priority="2" operator="equal" aboveAverage="0" equalAverage="0" bottom="0" percent="0" rank="0" text="" dxfId="7">
      <formula>"■"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6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408</v>
      </c>
    </row>
    <row r="3" customFormat="false" ht="26.85" hidden="false" customHeight="false" outlineLevel="0" collapsed="false">
      <c r="A3" s="8" t="s">
        <v>409</v>
      </c>
      <c r="B3" s="8" t="s">
        <v>410</v>
      </c>
      <c r="C3" s="8" t="s">
        <v>411</v>
      </c>
      <c r="D3" s="8" t="s">
        <v>412</v>
      </c>
      <c r="E3" s="8" t="s">
        <v>131</v>
      </c>
    </row>
    <row r="4" customFormat="false" ht="15" hidden="false" customHeight="false" outlineLevel="0" collapsed="false">
      <c r="A4" s="6" t="s">
        <v>413</v>
      </c>
      <c r="B4" s="6" t="s">
        <v>414</v>
      </c>
      <c r="C4" s="6" t="s">
        <v>415</v>
      </c>
      <c r="D4" s="6" t="s">
        <v>416</v>
      </c>
      <c r="E4" s="10" t="s">
        <v>417</v>
      </c>
    </row>
    <row r="5" customFormat="false" ht="23.85" hidden="false" customHeight="false" outlineLevel="0" collapsed="false">
      <c r="A5" s="6" t="s">
        <v>418</v>
      </c>
      <c r="B5" s="6" t="s">
        <v>414</v>
      </c>
      <c r="C5" s="6" t="s">
        <v>419</v>
      </c>
      <c r="D5" s="6" t="s">
        <v>420</v>
      </c>
      <c r="E5" s="10" t="s">
        <v>417</v>
      </c>
    </row>
    <row r="6" customFormat="false" ht="15" hidden="false" customHeight="false" outlineLevel="0" collapsed="false">
      <c r="A6" s="6" t="s">
        <v>421</v>
      </c>
      <c r="B6" s="6" t="s">
        <v>414</v>
      </c>
      <c r="C6" s="6" t="s">
        <v>419</v>
      </c>
      <c r="D6" s="6" t="s">
        <v>422</v>
      </c>
      <c r="E6" s="10" t="s">
        <v>417</v>
      </c>
    </row>
    <row r="7" customFormat="false" ht="15" hidden="false" customHeight="false" outlineLevel="0" collapsed="false">
      <c r="A7" s="6" t="s">
        <v>423</v>
      </c>
      <c r="B7" s="6" t="s">
        <v>424</v>
      </c>
      <c r="C7" s="6" t="s">
        <v>419</v>
      </c>
      <c r="D7" s="6" t="s">
        <v>425</v>
      </c>
      <c r="E7" s="10" t="s">
        <v>417</v>
      </c>
    </row>
    <row r="8" customFormat="false" ht="15" hidden="false" customHeight="false" outlineLevel="0" collapsed="false">
      <c r="A8" s="6" t="s">
        <v>426</v>
      </c>
      <c r="B8" s="6" t="s">
        <v>424</v>
      </c>
      <c r="C8" s="6" t="s">
        <v>415</v>
      </c>
      <c r="D8" s="6" t="s">
        <v>427</v>
      </c>
      <c r="E8" s="10" t="s">
        <v>417</v>
      </c>
    </row>
    <row r="9" customFormat="false" ht="15" hidden="false" customHeight="false" outlineLevel="0" collapsed="false">
      <c r="A9" s="6" t="s">
        <v>428</v>
      </c>
      <c r="B9" s="6" t="s">
        <v>414</v>
      </c>
      <c r="C9" s="6" t="s">
        <v>429</v>
      </c>
      <c r="D9" s="6" t="s">
        <v>430</v>
      </c>
      <c r="E9" s="10" t="s">
        <v>417</v>
      </c>
    </row>
    <row r="10" customFormat="false" ht="15" hidden="false" customHeight="false" outlineLevel="0" collapsed="false">
      <c r="A10" s="6" t="s">
        <v>431</v>
      </c>
      <c r="B10" s="6" t="s">
        <v>424</v>
      </c>
      <c r="C10" s="6" t="s">
        <v>419</v>
      </c>
      <c r="D10" s="6" t="s">
        <v>432</v>
      </c>
      <c r="E10" s="10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433</v>
      </c>
    </row>
    <row r="3" customFormat="false" ht="15" hidden="false" customHeight="false" outlineLevel="0" collapsed="false">
      <c r="A3" s="8" t="s">
        <v>434</v>
      </c>
      <c r="B3" s="8" t="s">
        <v>435</v>
      </c>
      <c r="C3" s="8" t="s">
        <v>436</v>
      </c>
      <c r="D3" s="8" t="s">
        <v>437</v>
      </c>
      <c r="E3" s="8" t="s">
        <v>438</v>
      </c>
    </row>
    <row r="4" customFormat="false" ht="15" hidden="false" customHeight="false" outlineLevel="0" collapsed="false">
      <c r="A4" s="6" t="s">
        <v>63</v>
      </c>
      <c r="B4" s="6" t="s">
        <v>439</v>
      </c>
      <c r="C4" s="10"/>
      <c r="D4" s="10"/>
      <c r="E4" s="10"/>
    </row>
    <row r="5" customFormat="false" ht="15" hidden="false" customHeight="false" outlineLevel="0" collapsed="false">
      <c r="A5" s="6" t="s">
        <v>440</v>
      </c>
      <c r="B5" s="6" t="s">
        <v>441</v>
      </c>
      <c r="C5" s="10"/>
      <c r="D5" s="10"/>
      <c r="E5" s="10"/>
    </row>
    <row r="6" customFormat="false" ht="15" hidden="false" customHeight="false" outlineLevel="0" collapsed="false">
      <c r="A6" s="6" t="s">
        <v>442</v>
      </c>
      <c r="B6" s="6" t="s">
        <v>443</v>
      </c>
      <c r="C6" s="10"/>
      <c r="D6" s="10"/>
      <c r="E6" s="10"/>
    </row>
    <row r="7" customFormat="false" ht="15" hidden="false" customHeight="false" outlineLevel="0" collapsed="false">
      <c r="A7" s="6" t="s">
        <v>444</v>
      </c>
      <c r="B7" s="6" t="s">
        <v>445</v>
      </c>
      <c r="C7" s="10"/>
      <c r="D7" s="10"/>
      <c r="E7" s="10"/>
    </row>
    <row r="8" customFormat="false" ht="15" hidden="false" customHeight="false" outlineLevel="0" collapsed="false">
      <c r="A8" s="6" t="s">
        <v>446</v>
      </c>
      <c r="B8" s="6" t="s">
        <v>447</v>
      </c>
      <c r="C8" s="10"/>
      <c r="D8" s="10"/>
      <c r="E8" s="10"/>
    </row>
    <row r="9" customFormat="false" ht="15" hidden="false" customHeight="false" outlineLevel="0" collapsed="false">
      <c r="A9" s="6" t="s">
        <v>448</v>
      </c>
      <c r="B9" s="6" t="s">
        <v>449</v>
      </c>
      <c r="C9" s="10"/>
      <c r="D9" s="10"/>
      <c r="E9" s="10"/>
    </row>
    <row r="10" customFormat="false" ht="23.85" hidden="false" customHeight="false" outlineLevel="0" collapsed="false">
      <c r="A10" s="6" t="s">
        <v>317</v>
      </c>
      <c r="B10" s="6" t="s">
        <v>450</v>
      </c>
      <c r="C10" s="10" t="s">
        <v>451</v>
      </c>
      <c r="D10" s="30" t="n">
        <v>46306</v>
      </c>
      <c r="E10" s="10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2026-10-11T21:27:09Z</dcterms:created>
  <dc:creator>openpyxl</dc:creator>
  <dc:description/>
  <dc:language>en-US</dc:language>
  <cp:lastModifiedBy/>
  <dcterms:modified xsi:type="dcterms:W3CDTF">2026-10-11T21:27:10Z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